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oki_office/Desktop/"/>
    </mc:Choice>
  </mc:AlternateContent>
  <xr:revisionPtr revIDLastSave="0" documentId="13_ncr:1_{EC4DE1B3-0C1D-004A-8BAD-8198097A1D83}" xr6:coauthVersionLast="47" xr6:coauthVersionMax="47" xr10:uidLastSave="{00000000-0000-0000-0000-000000000000}"/>
  <bookViews>
    <workbookView xWindow="15380" yWindow="1000" windowWidth="30040" windowHeight="22320" xr2:uid="{1FA2A3BD-181D-4342-8A0E-FBB8E20370CF}"/>
  </bookViews>
  <sheets>
    <sheet name="1_調査員へ渡すシート" sheetId="1" r:id="rId1"/>
    <sheet name="2_調査員が作成した報告書" sheetId="2" r:id="rId2"/>
    <sheet name="3_本社社員が修正したもの" sheetId="3" r:id="rId3"/>
  </sheets>
  <definedNames>
    <definedName name="_xlnm.Print_Area" localSheetId="0">'1_調査員へ渡すシート'!$A$1:$BL$62</definedName>
    <definedName name="_xlnm.Print_Area" localSheetId="1">'2_調査員が作成した報告書'!$A$1:$BL$62</definedName>
    <definedName name="_xlnm.Print_Area" localSheetId="2">'3_本社社員が修正したもの'!$A$1:$BL$124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23" i="3" l="1"/>
  <c r="A323" i="3"/>
  <c r="T321" i="3"/>
  <c r="N321" i="3"/>
  <c r="E321" i="3"/>
  <c r="A321" i="3"/>
  <c r="Z315" i="3"/>
  <c r="U315" i="3"/>
  <c r="P315" i="3"/>
  <c r="M315" i="3"/>
  <c r="BG312" i="3"/>
  <c r="BB312" i="3"/>
  <c r="M312" i="3"/>
  <c r="E261" i="3"/>
  <c r="A261" i="3"/>
  <c r="N260" i="3"/>
  <c r="T259" i="3"/>
  <c r="E259" i="3"/>
  <c r="A259" i="3"/>
  <c r="Z253" i="3"/>
  <c r="U253" i="3"/>
  <c r="P253" i="3"/>
  <c r="M253" i="3"/>
  <c r="BG250" i="3"/>
  <c r="BB250" i="3"/>
  <c r="M250" i="3"/>
  <c r="E199" i="3"/>
  <c r="A199" i="3"/>
  <c r="T197" i="3"/>
  <c r="E197" i="3"/>
  <c r="A197" i="3"/>
  <c r="Z191" i="3"/>
  <c r="U191" i="3"/>
  <c r="P191" i="3"/>
  <c r="M191" i="3"/>
  <c r="BG188" i="3"/>
  <c r="BB188" i="3"/>
  <c r="M188" i="3"/>
  <c r="E137" i="3"/>
  <c r="A137" i="3"/>
  <c r="T135" i="3"/>
  <c r="E135" i="3"/>
  <c r="A135" i="3"/>
  <c r="Z129" i="3"/>
  <c r="U129" i="3"/>
  <c r="P129" i="3"/>
  <c r="M129" i="3"/>
  <c r="BG126" i="3"/>
  <c r="BB126" i="3"/>
  <c r="M126" i="3"/>
  <c r="E75" i="3"/>
  <c r="A75" i="3"/>
  <c r="T73" i="3"/>
  <c r="N73" i="3"/>
  <c r="E73" i="3"/>
  <c r="A73" i="3"/>
  <c r="B71" i="3"/>
  <c r="Z67" i="3"/>
  <c r="U67" i="3"/>
  <c r="P67" i="3"/>
  <c r="M67" i="3"/>
  <c r="BG64" i="3"/>
  <c r="BB64" i="3"/>
  <c r="M64" i="3"/>
  <c r="N12" i="3"/>
  <c r="N136" i="3" s="1"/>
  <c r="N11" i="3"/>
  <c r="N197" i="3" s="1"/>
  <c r="B257" i="3"/>
  <c r="AV190" i="3"/>
  <c r="AJ190" i="3"/>
  <c r="P4" i="3"/>
  <c r="P252" i="3" s="1"/>
  <c r="P66" i="3" l="1"/>
  <c r="N198" i="3"/>
  <c r="AV252" i="3"/>
  <c r="N259" i="3"/>
  <c r="P314" i="3"/>
  <c r="AJ66" i="3"/>
  <c r="B133" i="3"/>
  <c r="AJ314" i="3"/>
  <c r="AV314" i="3"/>
  <c r="AJ128" i="3"/>
  <c r="B195" i="3"/>
  <c r="AJ252" i="3"/>
  <c r="B319" i="3"/>
  <c r="AV66" i="3"/>
  <c r="P128" i="3"/>
  <c r="N74" i="3"/>
  <c r="AV128" i="3"/>
  <c r="N135" i="3"/>
  <c r="P190" i="3"/>
  <c r="N322" i="3"/>
  <c r="E323" i="2" l="1"/>
  <c r="A323" i="2"/>
  <c r="T321" i="2"/>
  <c r="E321" i="2"/>
  <c r="A321" i="2"/>
  <c r="Z315" i="2"/>
  <c r="U315" i="2"/>
  <c r="P315" i="2"/>
  <c r="M315" i="2"/>
  <c r="P314" i="2"/>
  <c r="BB312" i="2"/>
  <c r="M312" i="2"/>
  <c r="E261" i="2"/>
  <c r="A261" i="2"/>
  <c r="T259" i="2"/>
  <c r="E259" i="2"/>
  <c r="A259" i="2"/>
  <c r="Z253" i="2"/>
  <c r="U253" i="2"/>
  <c r="P253" i="2"/>
  <c r="M253" i="2"/>
  <c r="BB250" i="2"/>
  <c r="M250" i="2"/>
  <c r="E199" i="2"/>
  <c r="A199" i="2"/>
  <c r="T197" i="2"/>
  <c r="E197" i="2"/>
  <c r="A197" i="2"/>
  <c r="Z191" i="2"/>
  <c r="U191" i="2"/>
  <c r="P191" i="2"/>
  <c r="M191" i="2"/>
  <c r="BB188" i="2"/>
  <c r="M188" i="2"/>
  <c r="E137" i="2"/>
  <c r="A137" i="2"/>
  <c r="T135" i="2"/>
  <c r="E135" i="2"/>
  <c r="A135" i="2"/>
  <c r="Z129" i="2"/>
  <c r="U129" i="2"/>
  <c r="P129" i="2"/>
  <c r="M129" i="2"/>
  <c r="BG126" i="2"/>
  <c r="BB126" i="2"/>
  <c r="M126" i="2"/>
  <c r="E75" i="2"/>
  <c r="A75" i="2"/>
  <c r="T73" i="2"/>
  <c r="E73" i="2"/>
  <c r="A73" i="2"/>
  <c r="B71" i="2"/>
  <c r="Z67" i="2"/>
  <c r="U67" i="2"/>
  <c r="P67" i="2"/>
  <c r="M67" i="2"/>
  <c r="P66" i="2"/>
  <c r="BG64" i="2"/>
  <c r="BB64" i="2"/>
  <c r="M64" i="2"/>
  <c r="B133" i="2"/>
  <c r="AV190" i="2"/>
  <c r="AJ314" i="2"/>
  <c r="P4" i="2"/>
  <c r="P252" i="2"/>
  <c r="BG250" i="2"/>
  <c r="BG312" i="2" l="1"/>
  <c r="B319" i="2"/>
  <c r="AJ66" i="2"/>
  <c r="AV252" i="2"/>
  <c r="AV314" i="2"/>
  <c r="AJ252" i="2"/>
  <c r="AV66" i="2"/>
  <c r="P128" i="2"/>
  <c r="N11" i="2"/>
  <c r="AJ128" i="2"/>
  <c r="BG188" i="2"/>
  <c r="B195" i="2"/>
  <c r="N12" i="2"/>
  <c r="AV128" i="2"/>
  <c r="P190" i="2"/>
  <c r="AJ190" i="2"/>
  <c r="B257" i="2"/>
  <c r="N136" i="2" l="1"/>
  <c r="N322" i="2"/>
  <c r="N74" i="2"/>
  <c r="N260" i="2"/>
  <c r="N198" i="2"/>
  <c r="N197" i="2"/>
  <c r="N259" i="2"/>
  <c r="N135" i="2"/>
  <c r="N73" i="2"/>
  <c r="N321" i="2"/>
  <c r="E323" i="1" l="1"/>
  <c r="A323" i="1"/>
  <c r="T321" i="1"/>
  <c r="E321" i="1"/>
  <c r="A321" i="1"/>
  <c r="Z315" i="1"/>
  <c r="U315" i="1"/>
  <c r="P315" i="1"/>
  <c r="M315" i="1"/>
  <c r="BB312" i="1"/>
  <c r="M312" i="1"/>
  <c r="E261" i="1"/>
  <c r="A261" i="1"/>
  <c r="T259" i="1"/>
  <c r="E259" i="1"/>
  <c r="A259" i="1"/>
  <c r="Z253" i="1"/>
  <c r="U253" i="1"/>
  <c r="P253" i="1"/>
  <c r="M253" i="1"/>
  <c r="BB250" i="1"/>
  <c r="M250" i="1"/>
  <c r="E199" i="1"/>
  <c r="A199" i="1"/>
  <c r="T197" i="1"/>
  <c r="E197" i="1"/>
  <c r="A197" i="1"/>
  <c r="Z191" i="1"/>
  <c r="U191" i="1"/>
  <c r="P191" i="1"/>
  <c r="M191" i="1"/>
  <c r="BB188" i="1"/>
  <c r="M188" i="1"/>
  <c r="E137" i="1"/>
  <c r="A137" i="1"/>
  <c r="T135" i="1"/>
  <c r="E135" i="1"/>
  <c r="A135" i="1"/>
  <c r="Z129" i="1"/>
  <c r="U129" i="1"/>
  <c r="P129" i="1"/>
  <c r="M129" i="1"/>
  <c r="BB126" i="1"/>
  <c r="M126" i="1"/>
  <c r="E75" i="1"/>
  <c r="A75" i="1"/>
  <c r="T73" i="1"/>
  <c r="E73" i="1"/>
  <c r="A73" i="1"/>
  <c r="Z67" i="1"/>
  <c r="U67" i="1"/>
  <c r="P67" i="1"/>
  <c r="M67" i="1"/>
  <c r="BB64" i="1"/>
  <c r="M64" i="1"/>
  <c r="B257" i="1"/>
  <c r="AV190" i="1"/>
  <c r="AJ190" i="1"/>
  <c r="P4" i="1"/>
  <c r="BG250" i="1"/>
  <c r="BG312" i="1" l="1"/>
  <c r="B319" i="1"/>
  <c r="P66" i="1"/>
  <c r="AV252" i="1"/>
  <c r="P314" i="1"/>
  <c r="BG64" i="1"/>
  <c r="AJ66" i="1"/>
  <c r="BG126" i="1"/>
  <c r="B133" i="1"/>
  <c r="AJ314" i="1"/>
  <c r="AV66" i="1"/>
  <c r="P128" i="1"/>
  <c r="AV314" i="1"/>
  <c r="N11" i="1"/>
  <c r="AJ128" i="1"/>
  <c r="BG188" i="1"/>
  <c r="B195" i="1"/>
  <c r="N12" i="1"/>
  <c r="AV128" i="1"/>
  <c r="P190" i="1"/>
  <c r="P252" i="1"/>
  <c r="B71" i="1"/>
  <c r="AJ252" i="1"/>
  <c r="N135" i="1" l="1"/>
  <c r="N321" i="1"/>
  <c r="N73" i="1"/>
  <c r="N197" i="1"/>
  <c r="N259" i="1"/>
  <c r="N136" i="1"/>
  <c r="N322" i="1"/>
  <c r="N74" i="1"/>
  <c r="N260" i="1"/>
  <c r="N1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E10" authorId="0" shapeId="0" xr:uid="{4C122BF0-2DC8-44B2-9BA2-131C4C8363E1}">
      <text>
        <r>
          <rPr>
            <sz val="9"/>
            <color rgb="FF000000"/>
            <rFont val="ＭＳ Ｐゴシック"/>
            <family val="2"/>
            <charset val="128"/>
          </rPr>
          <t xml:space="preserve"> </t>
        </r>
        <r>
          <rPr>
            <sz val="9"/>
            <color rgb="FF000000"/>
            <rFont val="ＭＳ Ｐゴシック"/>
            <family val="2"/>
            <charset val="128"/>
          </rPr>
          <t>現地調査写真は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最低</t>
        </r>
        <r>
          <rPr>
            <sz val="9"/>
            <color rgb="FF000000"/>
            <rFont val="ＭＳ Ｐゴシック"/>
            <family val="2"/>
            <charset val="128"/>
          </rPr>
          <t>6</t>
        </r>
        <r>
          <rPr>
            <sz val="9"/>
            <color rgb="FF000000"/>
            <rFont val="ＭＳ Ｐゴシック"/>
            <family val="2"/>
            <charset val="128"/>
          </rPr>
          <t>枚必要です。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位置図の写真番号と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撮影した写真の通番を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合わせて貼ってください。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写真の貼り付け方法については、必ずマニュアルをご参照ください。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E10" authorId="0" shapeId="0" xr:uid="{0937ECE4-5BD0-4E95-BC72-14AE865564D7}">
      <text>
        <r>
          <rPr>
            <sz val="9"/>
            <color indexed="81"/>
            <rFont val="ＭＳ Ｐゴシック"/>
            <family val="3"/>
            <charset val="128"/>
          </rPr>
          <t xml:space="preserve"> 現地調査写真は
最低6枚必要です。
位置図の写真番号と
撮影した写真の通番を
合わせて貼ってください。
写真の貼り付け方法については、必ずマニュアルをご参照ください。</t>
        </r>
      </text>
    </comment>
  </commentList>
</comments>
</file>

<file path=xl/sharedStrings.xml><?xml version="1.0" encoding="utf-8"?>
<sst xmlns="http://schemas.openxmlformats.org/spreadsheetml/2006/main" count="596" uniqueCount="87">
  <si>
    <t>担 保 物 件 状 況 調</t>
    <rPh sb="6" eb="7">
      <t>ケン</t>
    </rPh>
    <rPh sb="8" eb="9">
      <t>ジョウ</t>
    </rPh>
    <rPh sb="10" eb="11">
      <t>キョウ</t>
    </rPh>
    <rPh sb="12" eb="13">
      <t>チョウ</t>
    </rPh>
    <phoneticPr fontId="4"/>
  </si>
  <si>
    <t>調査物件を撮影</t>
    <rPh sb="0" eb="2">
      <t>チョウサ</t>
    </rPh>
    <rPh sb="2" eb="4">
      <t>ブッケン</t>
    </rPh>
    <phoneticPr fontId="4"/>
  </si>
  <si>
    <t>前面道路(北側)を撮影</t>
  </si>
  <si>
    <t>店　　番</t>
  </si>
  <si>
    <t>検　　印</t>
    <rPh sb="0" eb="1">
      <t>ケン</t>
    </rPh>
    <rPh sb="3" eb="4">
      <t>イン</t>
    </rPh>
    <phoneticPr fontId="4"/>
  </si>
  <si>
    <t>作 成 者</t>
  </si>
  <si>
    <t>撮影年月日</t>
    <rPh sb="0" eb="2">
      <t>サツエイ</t>
    </rPh>
    <rPh sb="2" eb="5">
      <t>ネンガッピ</t>
    </rPh>
    <phoneticPr fontId="4"/>
  </si>
  <si>
    <t>所在地</t>
    <rPh sb="0" eb="3">
      <t>ショザイチ</t>
    </rPh>
    <phoneticPr fontId="4"/>
  </si>
  <si>
    <t>前面道路(北東側)を撮影</t>
  </si>
  <si>
    <t>前面道路(東側)を撮影</t>
  </si>
  <si>
    <t>前面道路(南東側)を撮影</t>
  </si>
  <si>
    <t>前面道路(南側)を撮影</t>
  </si>
  <si>
    <t>前面道路(南西側)を撮影</t>
  </si>
  <si>
    <t>1</t>
    <phoneticPr fontId="4"/>
  </si>
  <si>
    <t>2</t>
    <phoneticPr fontId="4"/>
  </si>
  <si>
    <t>前面道路(西側)を撮影</t>
  </si>
  <si>
    <r>
      <t xml:space="preserve">写　真
</t>
    </r>
    <r>
      <rPr>
        <sz val="24"/>
        <color indexed="22"/>
        <rFont val="ＭＳ ゴシック"/>
        <family val="3"/>
        <charset val="128"/>
      </rPr>
      <t>(400×300)</t>
    </r>
    <phoneticPr fontId="4"/>
  </si>
  <si>
    <t>前面道路(北西側)を撮影</t>
  </si>
  <si>
    <t>CIF</t>
  </si>
  <si>
    <t>境界付近(北側)を撮影</t>
  </si>
  <si>
    <t>境界付近(北東側)を撮影</t>
  </si>
  <si>
    <t>債務者名</t>
  </si>
  <si>
    <t>境界付近(東側)を撮影</t>
  </si>
  <si>
    <t>境界付近(南東側)を撮影</t>
  </si>
  <si>
    <t>・ 利用区分(</t>
    <rPh sb="2" eb="4">
      <t>リヨウ</t>
    </rPh>
    <rPh sb="4" eb="6">
      <t>クブン</t>
    </rPh>
    <phoneticPr fontId="4"/>
  </si>
  <si>
    <t>自用</t>
    <rPh sb="0" eb="1">
      <t>ジ</t>
    </rPh>
    <rPh sb="1" eb="2">
      <t>ヨウ</t>
    </rPh>
    <phoneticPr fontId="4"/>
  </si>
  <si>
    <t>・</t>
    <phoneticPr fontId="4"/>
  </si>
  <si>
    <t>賃貸</t>
    <rPh sb="0" eb="2">
      <t>チンタイ</t>
    </rPh>
    <phoneticPr fontId="4"/>
  </si>
  <si>
    <t>一部賃貸</t>
    <rPh sb="0" eb="2">
      <t>イチブ</t>
    </rPh>
    <rPh sb="2" eb="4">
      <t>チンタイ</t>
    </rPh>
    <phoneticPr fontId="4"/>
  </si>
  <si>
    <t>)</t>
    <phoneticPr fontId="4"/>
  </si>
  <si>
    <t>いずれかに○印</t>
    <rPh sb="6" eb="7">
      <t>ジルシ</t>
    </rPh>
    <phoneticPr fontId="4"/>
  </si>
  <si>
    <t>境界付近(南側)を撮影</t>
  </si>
  <si>
    <t>境界付近(南西側)を撮影</t>
  </si>
  <si>
    <t>・ 特記事項</t>
    <rPh sb="2" eb="4">
      <t>トッキ</t>
    </rPh>
    <rPh sb="4" eb="6">
      <t>ジコウ</t>
    </rPh>
    <phoneticPr fontId="4"/>
  </si>
  <si>
    <t>担保物件と登記簿記載内容が不一致の場合や</t>
    <rPh sb="0" eb="2">
      <t>タンポ</t>
    </rPh>
    <rPh sb="2" eb="4">
      <t>ブッケン</t>
    </rPh>
    <rPh sb="5" eb="8">
      <t>トウキボ</t>
    </rPh>
    <rPh sb="8" eb="10">
      <t>キサイ</t>
    </rPh>
    <rPh sb="10" eb="12">
      <t>ナイヨウ</t>
    </rPh>
    <rPh sb="13" eb="16">
      <t>フイッチ</t>
    </rPh>
    <rPh sb="17" eb="19">
      <t>バアイ</t>
    </rPh>
    <phoneticPr fontId="4"/>
  </si>
  <si>
    <t>境界付近(西側)を撮影</t>
  </si>
  <si>
    <t>物件処分時の懸念事項等、特記事項がある場合に記載</t>
    <rPh sb="0" eb="2">
      <t>ブッケン</t>
    </rPh>
    <rPh sb="2" eb="4">
      <t>ショブン</t>
    </rPh>
    <rPh sb="4" eb="5">
      <t>ジ</t>
    </rPh>
    <rPh sb="6" eb="8">
      <t>ケネン</t>
    </rPh>
    <rPh sb="8" eb="11">
      <t>ジコウトウ</t>
    </rPh>
    <rPh sb="12" eb="14">
      <t>トッキ</t>
    </rPh>
    <rPh sb="14" eb="16">
      <t>ジコウ</t>
    </rPh>
    <rPh sb="19" eb="21">
      <t>バアイ</t>
    </rPh>
    <rPh sb="22" eb="24">
      <t>キサイ</t>
    </rPh>
    <phoneticPr fontId="4"/>
  </si>
  <si>
    <t>境界付近(北西側)を撮影</t>
  </si>
  <si>
    <t>水路を撮影</t>
    <rPh sb="0" eb="2">
      <t>スイロ</t>
    </rPh>
    <rPh sb="3" eb="5">
      <t>サツエイ</t>
    </rPh>
    <phoneticPr fontId="4"/>
  </si>
  <si>
    <t>位　置　図</t>
    <rPh sb="0" eb="1">
      <t>クライ</t>
    </rPh>
    <rPh sb="2" eb="3">
      <t>オキ</t>
    </rPh>
    <rPh sb="4" eb="5">
      <t>ズ</t>
    </rPh>
    <phoneticPr fontId="4"/>
  </si>
  <si>
    <t>上水施設を撮影</t>
    <rPh sb="0" eb="2">
      <t>ジョウスイ</t>
    </rPh>
    <rPh sb="2" eb="4">
      <t>シセツ</t>
    </rPh>
    <phoneticPr fontId="4"/>
  </si>
  <si>
    <t>下水施設を撮影</t>
    <rPh sb="0" eb="2">
      <t>ゲスイ</t>
    </rPh>
    <rPh sb="2" eb="4">
      <t>シセツ</t>
    </rPh>
    <phoneticPr fontId="4"/>
  </si>
  <si>
    <t>ガス施設を撮影</t>
    <rPh sb="2" eb="4">
      <t>シセツ</t>
    </rPh>
    <phoneticPr fontId="4"/>
  </si>
  <si>
    <t>越境物を撮影</t>
    <rPh sb="0" eb="2">
      <t>エッキョウ</t>
    </rPh>
    <rPh sb="2" eb="3">
      <t>ブツ</t>
    </rPh>
    <phoneticPr fontId="4"/>
  </si>
  <si>
    <t>表札を撮影</t>
    <rPh sb="0" eb="2">
      <t>ヒョウサツ</t>
    </rPh>
    <phoneticPr fontId="4"/>
  </si>
  <si>
    <t>看板を撮影</t>
    <rPh sb="0" eb="2">
      <t>カンバン</t>
    </rPh>
    <phoneticPr fontId="4"/>
  </si>
  <si>
    <t>メールボックスを撮影</t>
    <phoneticPr fontId="4"/>
  </si>
  <si>
    <t>3</t>
    <phoneticPr fontId="4"/>
  </si>
  <si>
    <t>4</t>
    <phoneticPr fontId="4"/>
  </si>
  <si>
    <t>件外建物を撮影</t>
    <rPh sb="0" eb="2">
      <t>ケンガイ</t>
    </rPh>
    <rPh sb="2" eb="4">
      <t>タテモノ</t>
    </rPh>
    <phoneticPr fontId="4"/>
  </si>
  <si>
    <t>5</t>
    <phoneticPr fontId="4"/>
  </si>
  <si>
    <t>6</t>
    <phoneticPr fontId="4"/>
  </si>
  <si>
    <t>7</t>
    <phoneticPr fontId="4"/>
  </si>
  <si>
    <t>8</t>
    <phoneticPr fontId="4"/>
  </si>
  <si>
    <t>9</t>
    <phoneticPr fontId="4"/>
  </si>
  <si>
    <t>10</t>
    <phoneticPr fontId="4"/>
  </si>
  <si>
    <t>11</t>
    <phoneticPr fontId="4"/>
  </si>
  <si>
    <t>12</t>
    <phoneticPr fontId="4"/>
  </si>
  <si>
    <t>13</t>
    <phoneticPr fontId="4"/>
  </si>
  <si>
    <t>14</t>
    <phoneticPr fontId="4"/>
  </si>
  <si>
    <t>15</t>
    <phoneticPr fontId="4"/>
  </si>
  <si>
    <t>16</t>
    <phoneticPr fontId="4"/>
  </si>
  <si>
    <t>17</t>
    <phoneticPr fontId="4"/>
  </si>
  <si>
    <t>18</t>
    <phoneticPr fontId="4"/>
  </si>
  <si>
    <t>19</t>
    <phoneticPr fontId="4"/>
  </si>
  <si>
    <t>20</t>
    <phoneticPr fontId="4"/>
  </si>
  <si>
    <t>21</t>
    <phoneticPr fontId="4"/>
  </si>
  <si>
    <t>22</t>
    <phoneticPr fontId="4"/>
  </si>
  <si>
    <t>23</t>
    <phoneticPr fontId="4"/>
  </si>
  <si>
    <t>24</t>
    <phoneticPr fontId="4"/>
  </si>
  <si>
    <t>25</t>
    <phoneticPr fontId="4"/>
  </si>
  <si>
    <t>26</t>
    <phoneticPr fontId="4"/>
  </si>
  <si>
    <t>27</t>
    <phoneticPr fontId="4"/>
  </si>
  <si>
    <t>28</t>
    <phoneticPr fontId="4"/>
  </si>
  <si>
    <t>29</t>
    <phoneticPr fontId="4"/>
  </si>
  <si>
    <t>30</t>
    <phoneticPr fontId="4"/>
  </si>
  <si>
    <t>31</t>
    <phoneticPr fontId="4"/>
  </si>
  <si>
    <t>32</t>
    <phoneticPr fontId="4"/>
  </si>
  <si>
    <t>33</t>
    <phoneticPr fontId="4"/>
  </si>
  <si>
    <t>34</t>
    <phoneticPr fontId="4"/>
  </si>
  <si>
    <t>35</t>
    <phoneticPr fontId="4"/>
  </si>
  <si>
    <t>36</t>
    <phoneticPr fontId="4"/>
  </si>
  <si>
    <t>秩父</t>
  </si>
  <si>
    <t>3794</t>
  </si>
  <si>
    <t>1</t>
  </si>
  <si>
    <t>-</t>
  </si>
  <si>
    <t>埼玉県秩父郡小鹿野町両神薄字中原里248-2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</si>
</sst>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(1/&quot;0&quot;)&quot;"/>
    <numFmt numFmtId="177" formatCode="[$-411]ggge&quot;年&quot;m&quot;月&quot;d&quot;日 作成&quot;"/>
    <numFmt numFmtId="178" formatCode="&quot;(2/&quot;0&quot;)&quot;"/>
    <numFmt numFmtId="179" formatCode="&quot;(3/&quot;0&quot;)&quot;"/>
    <numFmt numFmtId="180" formatCode="&quot;(4/&quot;0&quot;)&quot;"/>
    <numFmt numFmtId="181" formatCode="&quot;(5/&quot;0&quot;)&quot;"/>
    <numFmt numFmtId="182" formatCode="&quot;(6/&quot;0&quot;)&quot;"/>
    <numFmt numFmtId="183" formatCode="yyyy&quot;年&quot;m&quot;月&quot;d&quot;日 作成&quot;"/>
  </numFmts>
  <fonts count="14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8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18"/>
      <name val="ＭＳ 明朝"/>
      <family val="1"/>
      <charset val="128"/>
    </font>
    <font>
      <sz val="10"/>
      <name val="ＭＳ 明朝"/>
      <family val="1"/>
      <charset val="128"/>
    </font>
    <font>
      <sz val="48"/>
      <color indexed="22"/>
      <name val="ＭＳ ゴシック"/>
      <family val="3"/>
      <charset val="128"/>
    </font>
    <font>
      <sz val="24"/>
      <color indexed="22"/>
      <name val="ＭＳ ゴシック"/>
      <family val="3"/>
      <charset val="128"/>
    </font>
    <font>
      <sz val="9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sz val="9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6" xfId="0" applyFont="1" applyBorder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0" xfId="0" quotePrefix="1" applyFont="1">
      <alignment vertical="center"/>
    </xf>
    <xf numFmtId="0" fontId="11" fillId="0" borderId="2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176" fontId="5" fillId="0" borderId="0" xfId="0" quotePrefix="1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58" fontId="6" fillId="0" borderId="0" xfId="0" applyNumberFormat="1" applyFont="1" applyAlignment="1">
      <alignment horizontal="center" vertical="center"/>
    </xf>
    <xf numFmtId="58" fontId="6" fillId="0" borderId="1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5" fillId="0" borderId="0" xfId="0" quotePrefix="1" applyNumberFormat="1" applyFont="1" applyAlignment="1">
      <alignment horizontal="center" vertical="center"/>
    </xf>
    <xf numFmtId="179" fontId="5" fillId="0" borderId="0" xfId="0" quotePrefix="1" applyNumberFormat="1" applyFont="1" applyAlignment="1">
      <alignment horizontal="center" vertical="center"/>
    </xf>
    <xf numFmtId="180" fontId="5" fillId="0" borderId="0" xfId="0" quotePrefix="1" applyNumberFormat="1" applyFont="1" applyAlignment="1">
      <alignment horizontal="center" vertical="center"/>
    </xf>
    <xf numFmtId="181" fontId="5" fillId="0" borderId="0" xfId="0" quotePrefix="1" applyNumberFormat="1" applyFont="1" applyAlignment="1">
      <alignment horizontal="center" vertical="center"/>
    </xf>
    <xf numFmtId="182" fontId="5" fillId="0" borderId="0" xfId="0" quotePrefix="1" applyNumberFormat="1" applyFont="1" applyAlignment="1">
      <alignment horizontal="center" vertical="center"/>
    </xf>
    <xf numFmtId="31" fontId="6" fillId="0" borderId="0" xfId="0" applyNumberFormat="1" applyFont="1" applyAlignment="1">
      <alignment horizontal="center" vertical="center"/>
    </xf>
    <xf numFmtId="31" fontId="6" fillId="0" borderId="16" xfId="0" applyNumberFormat="1" applyFont="1" applyBorder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wmf"/><Relationship Id="rId18" Type="http://schemas.openxmlformats.org/officeDocument/2006/relationships/image" Target="../media/image18.wmf"/><Relationship Id="rId26" Type="http://schemas.openxmlformats.org/officeDocument/2006/relationships/image" Target="../media/image26.wmf"/><Relationship Id="rId21" Type="http://schemas.openxmlformats.org/officeDocument/2006/relationships/image" Target="../media/image21.wmf"/><Relationship Id="rId34" Type="http://schemas.openxmlformats.org/officeDocument/2006/relationships/image" Target="../media/image34.wmf"/><Relationship Id="rId7" Type="http://schemas.openxmlformats.org/officeDocument/2006/relationships/image" Target="../media/image7.wmf"/><Relationship Id="rId12" Type="http://schemas.openxmlformats.org/officeDocument/2006/relationships/image" Target="../media/image12.wmf"/><Relationship Id="rId17" Type="http://schemas.openxmlformats.org/officeDocument/2006/relationships/image" Target="../media/image17.wmf"/><Relationship Id="rId25" Type="http://schemas.openxmlformats.org/officeDocument/2006/relationships/image" Target="../media/image25.wmf"/><Relationship Id="rId33" Type="http://schemas.openxmlformats.org/officeDocument/2006/relationships/image" Target="../media/image33.wmf"/><Relationship Id="rId38" Type="http://schemas.openxmlformats.org/officeDocument/2006/relationships/image" Target="../media/image38.png"/><Relationship Id="rId2" Type="http://schemas.openxmlformats.org/officeDocument/2006/relationships/image" Target="../media/image2.wmf"/><Relationship Id="rId16" Type="http://schemas.openxmlformats.org/officeDocument/2006/relationships/image" Target="../media/image16.wmf"/><Relationship Id="rId20" Type="http://schemas.openxmlformats.org/officeDocument/2006/relationships/image" Target="../media/image20.wmf"/><Relationship Id="rId29" Type="http://schemas.openxmlformats.org/officeDocument/2006/relationships/image" Target="../media/image29.wmf"/><Relationship Id="rId1" Type="http://schemas.openxmlformats.org/officeDocument/2006/relationships/image" Target="../media/image1.png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24" Type="http://schemas.openxmlformats.org/officeDocument/2006/relationships/image" Target="../media/image24.wmf"/><Relationship Id="rId32" Type="http://schemas.openxmlformats.org/officeDocument/2006/relationships/image" Target="../media/image32.wmf"/><Relationship Id="rId37" Type="http://schemas.openxmlformats.org/officeDocument/2006/relationships/image" Target="../media/image37.wmf"/><Relationship Id="rId5" Type="http://schemas.openxmlformats.org/officeDocument/2006/relationships/image" Target="../media/image5.wmf"/><Relationship Id="rId15" Type="http://schemas.openxmlformats.org/officeDocument/2006/relationships/image" Target="../media/image15.wmf"/><Relationship Id="rId23" Type="http://schemas.openxmlformats.org/officeDocument/2006/relationships/image" Target="../media/image23.wmf"/><Relationship Id="rId28" Type="http://schemas.openxmlformats.org/officeDocument/2006/relationships/image" Target="../media/image28.wmf"/><Relationship Id="rId36" Type="http://schemas.openxmlformats.org/officeDocument/2006/relationships/image" Target="../media/image36.wmf"/><Relationship Id="rId10" Type="http://schemas.openxmlformats.org/officeDocument/2006/relationships/image" Target="../media/image10.wmf"/><Relationship Id="rId19" Type="http://schemas.openxmlformats.org/officeDocument/2006/relationships/image" Target="../media/image19.wmf"/><Relationship Id="rId31" Type="http://schemas.openxmlformats.org/officeDocument/2006/relationships/image" Target="../media/image31.w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4" Type="http://schemas.openxmlformats.org/officeDocument/2006/relationships/image" Target="../media/image14.wmf"/><Relationship Id="rId22" Type="http://schemas.openxmlformats.org/officeDocument/2006/relationships/image" Target="../media/image22.wmf"/><Relationship Id="rId27" Type="http://schemas.openxmlformats.org/officeDocument/2006/relationships/image" Target="../media/image27.wmf"/><Relationship Id="rId30" Type="http://schemas.openxmlformats.org/officeDocument/2006/relationships/image" Target="../media/image30.wmf"/><Relationship Id="rId35" Type="http://schemas.openxmlformats.org/officeDocument/2006/relationships/image" Target="../media/image35.wmf"/><Relationship Id="rId8" Type="http://schemas.openxmlformats.org/officeDocument/2006/relationships/image" Target="../media/image8.wmf"/><Relationship Id="rId3" Type="http://schemas.openxmlformats.org/officeDocument/2006/relationships/image" Target="../media/image3.w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wmf"/><Relationship Id="rId18" Type="http://schemas.openxmlformats.org/officeDocument/2006/relationships/image" Target="../media/image10.wmf"/><Relationship Id="rId26" Type="http://schemas.openxmlformats.org/officeDocument/2006/relationships/image" Target="../media/image18.wmf"/><Relationship Id="rId39" Type="http://schemas.openxmlformats.org/officeDocument/2006/relationships/image" Target="../media/image31.wmf"/><Relationship Id="rId21" Type="http://schemas.openxmlformats.org/officeDocument/2006/relationships/image" Target="../media/image13.wmf"/><Relationship Id="rId34" Type="http://schemas.openxmlformats.org/officeDocument/2006/relationships/image" Target="../media/image26.wmf"/><Relationship Id="rId42" Type="http://schemas.openxmlformats.org/officeDocument/2006/relationships/image" Target="../media/image34.wmf"/><Relationship Id="rId7" Type="http://schemas.openxmlformats.org/officeDocument/2006/relationships/image" Target="../media/image45.jpg"/><Relationship Id="rId2" Type="http://schemas.openxmlformats.org/officeDocument/2006/relationships/image" Target="../media/image40.jpg"/><Relationship Id="rId16" Type="http://schemas.openxmlformats.org/officeDocument/2006/relationships/image" Target="../media/image8.wmf"/><Relationship Id="rId29" Type="http://schemas.openxmlformats.org/officeDocument/2006/relationships/image" Target="../media/image21.wmf"/><Relationship Id="rId1" Type="http://schemas.openxmlformats.org/officeDocument/2006/relationships/image" Target="../media/image39.jpg"/><Relationship Id="rId6" Type="http://schemas.openxmlformats.org/officeDocument/2006/relationships/image" Target="../media/image44.jpg"/><Relationship Id="rId11" Type="http://schemas.openxmlformats.org/officeDocument/2006/relationships/image" Target="../media/image3.wmf"/><Relationship Id="rId24" Type="http://schemas.openxmlformats.org/officeDocument/2006/relationships/image" Target="../media/image16.wmf"/><Relationship Id="rId32" Type="http://schemas.openxmlformats.org/officeDocument/2006/relationships/image" Target="../media/image24.wmf"/><Relationship Id="rId37" Type="http://schemas.openxmlformats.org/officeDocument/2006/relationships/image" Target="../media/image29.wmf"/><Relationship Id="rId40" Type="http://schemas.openxmlformats.org/officeDocument/2006/relationships/image" Target="../media/image32.wmf"/><Relationship Id="rId45" Type="http://schemas.openxmlformats.org/officeDocument/2006/relationships/image" Target="../media/image37.wmf"/><Relationship Id="rId5" Type="http://schemas.openxmlformats.org/officeDocument/2006/relationships/image" Target="../media/image43.jpg"/><Relationship Id="rId15" Type="http://schemas.openxmlformats.org/officeDocument/2006/relationships/image" Target="../media/image7.wmf"/><Relationship Id="rId23" Type="http://schemas.openxmlformats.org/officeDocument/2006/relationships/image" Target="../media/image15.wmf"/><Relationship Id="rId28" Type="http://schemas.openxmlformats.org/officeDocument/2006/relationships/image" Target="../media/image20.wmf"/><Relationship Id="rId36" Type="http://schemas.openxmlformats.org/officeDocument/2006/relationships/image" Target="../media/image28.wmf"/><Relationship Id="rId10" Type="http://schemas.openxmlformats.org/officeDocument/2006/relationships/image" Target="../media/image2.wmf"/><Relationship Id="rId19" Type="http://schemas.openxmlformats.org/officeDocument/2006/relationships/image" Target="../media/image11.wmf"/><Relationship Id="rId31" Type="http://schemas.openxmlformats.org/officeDocument/2006/relationships/image" Target="../media/image23.wmf"/><Relationship Id="rId44" Type="http://schemas.openxmlformats.org/officeDocument/2006/relationships/image" Target="../media/image36.wmf"/><Relationship Id="rId4" Type="http://schemas.openxmlformats.org/officeDocument/2006/relationships/image" Target="../media/image42.jpg"/><Relationship Id="rId9" Type="http://schemas.openxmlformats.org/officeDocument/2006/relationships/image" Target="../media/image1.png"/><Relationship Id="rId14" Type="http://schemas.openxmlformats.org/officeDocument/2006/relationships/image" Target="../media/image6.wmf"/><Relationship Id="rId22" Type="http://schemas.openxmlformats.org/officeDocument/2006/relationships/image" Target="../media/image14.wmf"/><Relationship Id="rId27" Type="http://schemas.openxmlformats.org/officeDocument/2006/relationships/image" Target="../media/image19.wmf"/><Relationship Id="rId30" Type="http://schemas.openxmlformats.org/officeDocument/2006/relationships/image" Target="../media/image22.wmf"/><Relationship Id="rId35" Type="http://schemas.openxmlformats.org/officeDocument/2006/relationships/image" Target="../media/image27.wmf"/><Relationship Id="rId43" Type="http://schemas.openxmlformats.org/officeDocument/2006/relationships/image" Target="../media/image35.wmf"/><Relationship Id="rId8" Type="http://schemas.openxmlformats.org/officeDocument/2006/relationships/image" Target="../media/image46.jpg"/><Relationship Id="rId3" Type="http://schemas.openxmlformats.org/officeDocument/2006/relationships/image" Target="../media/image41.jpg"/><Relationship Id="rId12" Type="http://schemas.openxmlformats.org/officeDocument/2006/relationships/image" Target="../media/image4.wmf"/><Relationship Id="rId17" Type="http://schemas.openxmlformats.org/officeDocument/2006/relationships/image" Target="../media/image9.wmf"/><Relationship Id="rId25" Type="http://schemas.openxmlformats.org/officeDocument/2006/relationships/image" Target="../media/image17.wmf"/><Relationship Id="rId33" Type="http://schemas.openxmlformats.org/officeDocument/2006/relationships/image" Target="../media/image25.wmf"/><Relationship Id="rId38" Type="http://schemas.openxmlformats.org/officeDocument/2006/relationships/image" Target="../media/image30.wmf"/><Relationship Id="rId46" Type="http://schemas.openxmlformats.org/officeDocument/2006/relationships/image" Target="../media/image38.png"/><Relationship Id="rId20" Type="http://schemas.openxmlformats.org/officeDocument/2006/relationships/image" Target="../media/image12.wmf"/><Relationship Id="rId41" Type="http://schemas.openxmlformats.org/officeDocument/2006/relationships/image" Target="../media/image33.wmf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wmf"/><Relationship Id="rId18" Type="http://schemas.openxmlformats.org/officeDocument/2006/relationships/image" Target="../media/image10.wmf"/><Relationship Id="rId26" Type="http://schemas.openxmlformats.org/officeDocument/2006/relationships/image" Target="../media/image18.wmf"/><Relationship Id="rId39" Type="http://schemas.openxmlformats.org/officeDocument/2006/relationships/image" Target="../media/image31.wmf"/><Relationship Id="rId21" Type="http://schemas.openxmlformats.org/officeDocument/2006/relationships/image" Target="../media/image13.wmf"/><Relationship Id="rId34" Type="http://schemas.openxmlformats.org/officeDocument/2006/relationships/image" Target="../media/image26.wmf"/><Relationship Id="rId42" Type="http://schemas.openxmlformats.org/officeDocument/2006/relationships/image" Target="../media/image34.wmf"/><Relationship Id="rId7" Type="http://schemas.openxmlformats.org/officeDocument/2006/relationships/image" Target="../media/image45.jpg"/><Relationship Id="rId2" Type="http://schemas.openxmlformats.org/officeDocument/2006/relationships/image" Target="../media/image40.jpg"/><Relationship Id="rId16" Type="http://schemas.openxmlformats.org/officeDocument/2006/relationships/image" Target="../media/image8.wmf"/><Relationship Id="rId29" Type="http://schemas.openxmlformats.org/officeDocument/2006/relationships/image" Target="../media/image21.wmf"/><Relationship Id="rId1" Type="http://schemas.openxmlformats.org/officeDocument/2006/relationships/image" Target="../media/image39.jpg"/><Relationship Id="rId6" Type="http://schemas.openxmlformats.org/officeDocument/2006/relationships/image" Target="../media/image44.jpg"/><Relationship Id="rId11" Type="http://schemas.openxmlformats.org/officeDocument/2006/relationships/image" Target="../media/image3.wmf"/><Relationship Id="rId24" Type="http://schemas.openxmlformats.org/officeDocument/2006/relationships/image" Target="../media/image16.wmf"/><Relationship Id="rId32" Type="http://schemas.openxmlformats.org/officeDocument/2006/relationships/image" Target="../media/image24.wmf"/><Relationship Id="rId37" Type="http://schemas.openxmlformats.org/officeDocument/2006/relationships/image" Target="../media/image29.wmf"/><Relationship Id="rId40" Type="http://schemas.openxmlformats.org/officeDocument/2006/relationships/image" Target="../media/image32.wmf"/><Relationship Id="rId45" Type="http://schemas.openxmlformats.org/officeDocument/2006/relationships/image" Target="../media/image37.wmf"/><Relationship Id="rId5" Type="http://schemas.openxmlformats.org/officeDocument/2006/relationships/image" Target="../media/image43.jpg"/><Relationship Id="rId15" Type="http://schemas.openxmlformats.org/officeDocument/2006/relationships/image" Target="../media/image7.wmf"/><Relationship Id="rId23" Type="http://schemas.openxmlformats.org/officeDocument/2006/relationships/image" Target="../media/image15.wmf"/><Relationship Id="rId28" Type="http://schemas.openxmlformats.org/officeDocument/2006/relationships/image" Target="../media/image20.wmf"/><Relationship Id="rId36" Type="http://schemas.openxmlformats.org/officeDocument/2006/relationships/image" Target="../media/image28.wmf"/><Relationship Id="rId10" Type="http://schemas.openxmlformats.org/officeDocument/2006/relationships/image" Target="../media/image2.wmf"/><Relationship Id="rId19" Type="http://schemas.openxmlformats.org/officeDocument/2006/relationships/image" Target="../media/image11.wmf"/><Relationship Id="rId31" Type="http://schemas.openxmlformats.org/officeDocument/2006/relationships/image" Target="../media/image23.wmf"/><Relationship Id="rId44" Type="http://schemas.openxmlformats.org/officeDocument/2006/relationships/image" Target="../media/image36.wmf"/><Relationship Id="rId4" Type="http://schemas.openxmlformats.org/officeDocument/2006/relationships/image" Target="../media/image42.jpg"/><Relationship Id="rId9" Type="http://schemas.openxmlformats.org/officeDocument/2006/relationships/image" Target="../media/image1.png"/><Relationship Id="rId14" Type="http://schemas.openxmlformats.org/officeDocument/2006/relationships/image" Target="../media/image6.wmf"/><Relationship Id="rId22" Type="http://schemas.openxmlformats.org/officeDocument/2006/relationships/image" Target="../media/image14.wmf"/><Relationship Id="rId27" Type="http://schemas.openxmlformats.org/officeDocument/2006/relationships/image" Target="../media/image19.wmf"/><Relationship Id="rId30" Type="http://schemas.openxmlformats.org/officeDocument/2006/relationships/image" Target="../media/image22.wmf"/><Relationship Id="rId35" Type="http://schemas.openxmlformats.org/officeDocument/2006/relationships/image" Target="../media/image27.wmf"/><Relationship Id="rId43" Type="http://schemas.openxmlformats.org/officeDocument/2006/relationships/image" Target="../media/image35.wmf"/><Relationship Id="rId8" Type="http://schemas.openxmlformats.org/officeDocument/2006/relationships/image" Target="../media/image46.jpg"/><Relationship Id="rId3" Type="http://schemas.openxmlformats.org/officeDocument/2006/relationships/image" Target="../media/image41.jpg"/><Relationship Id="rId12" Type="http://schemas.openxmlformats.org/officeDocument/2006/relationships/image" Target="../media/image4.wmf"/><Relationship Id="rId17" Type="http://schemas.openxmlformats.org/officeDocument/2006/relationships/image" Target="../media/image9.wmf"/><Relationship Id="rId25" Type="http://schemas.openxmlformats.org/officeDocument/2006/relationships/image" Target="../media/image17.wmf"/><Relationship Id="rId33" Type="http://schemas.openxmlformats.org/officeDocument/2006/relationships/image" Target="../media/image25.wmf"/><Relationship Id="rId38" Type="http://schemas.openxmlformats.org/officeDocument/2006/relationships/image" Target="../media/image30.wmf"/><Relationship Id="rId46" Type="http://schemas.openxmlformats.org/officeDocument/2006/relationships/image" Target="../media/image38.png"/><Relationship Id="rId20" Type="http://schemas.openxmlformats.org/officeDocument/2006/relationships/image" Target="../media/image12.wmf"/><Relationship Id="rId41" Type="http://schemas.openxmlformats.org/officeDocument/2006/relationships/image" Target="../media/image3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26</xdr:col>
      <xdr:colOff>224030</xdr:colOff>
      <xdr:row>184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A757B1-0992-49ED-83B4-C0590208D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24174450"/>
          <a:ext cx="5939030" cy="7178675"/>
        </a:xfrm>
        <a:prstGeom prst="rect">
          <a:avLst/>
        </a:prstGeom>
      </xdr:spPr>
    </xdr:pic>
    <xdr:clientData/>
  </xdr:twoCellAnchor>
  <xdr:oneCellAnchor>
    <xdr:from>
      <xdr:col>11</xdr:col>
      <xdr:colOff>207169</xdr:colOff>
      <xdr:row>165</xdr:row>
      <xdr:rowOff>83343</xdr:rowOff>
    </xdr:from>
    <xdr:ext cx="923925" cy="226219"/>
    <xdr:sp macro="" textlink="">
      <xdr:nvSpPr>
        <xdr:cNvPr id="3" name="Text Box 61">
          <a:extLst>
            <a:ext uri="{FF2B5EF4-FFF2-40B4-BE49-F238E27FC236}">
              <a16:creationId xmlns:a16="http://schemas.microsoft.com/office/drawing/2014/main" id="{984AC1D0-E45F-46A3-B92B-E4F383EF43D0}"/>
            </a:ext>
          </a:extLst>
        </xdr:cNvPr>
        <xdr:cNvSpPr txBox="1">
          <a:spLocks noChangeArrowheads="1"/>
        </xdr:cNvSpPr>
      </xdr:nvSpPr>
      <xdr:spPr bwMode="auto">
        <a:xfrm>
          <a:off x="2632869" y="28042393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10</xdr:col>
      <xdr:colOff>119064</xdr:colOff>
      <xdr:row>160</xdr:row>
      <xdr:rowOff>95250</xdr:rowOff>
    </xdr:from>
    <xdr:to>
      <xdr:col>17</xdr:col>
      <xdr:colOff>130971</xdr:colOff>
      <xdr:row>171</xdr:row>
      <xdr:rowOff>71438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E8ADEF53-4223-4F1D-8461-A068F487EF5F}"/>
            </a:ext>
          </a:extLst>
        </xdr:cNvPr>
        <xdr:cNvSpPr/>
      </xdr:nvSpPr>
      <xdr:spPr bwMode="auto">
        <a:xfrm>
          <a:off x="2316164" y="27165300"/>
          <a:ext cx="1612107" cy="1804988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26</xdr:col>
      <xdr:colOff>224030</xdr:colOff>
      <xdr:row>122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1911BD7-B5ED-4C00-A418-D408CFAF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13690600"/>
          <a:ext cx="5939030" cy="7178675"/>
        </a:xfrm>
        <a:prstGeom prst="rect">
          <a:avLst/>
        </a:prstGeom>
      </xdr:spPr>
    </xdr:pic>
    <xdr:clientData/>
  </xdr:twoCellAnchor>
  <xdr:oneCellAnchor>
    <xdr:from>
      <xdr:col>11</xdr:col>
      <xdr:colOff>207169</xdr:colOff>
      <xdr:row>103</xdr:row>
      <xdr:rowOff>83344</xdr:rowOff>
    </xdr:from>
    <xdr:ext cx="923925" cy="226219"/>
    <xdr:sp macro="" textlink="">
      <xdr:nvSpPr>
        <xdr:cNvPr id="6" name="Text Box 61">
          <a:extLst>
            <a:ext uri="{FF2B5EF4-FFF2-40B4-BE49-F238E27FC236}">
              <a16:creationId xmlns:a16="http://schemas.microsoft.com/office/drawing/2014/main" id="{9B3511CB-AEBD-4605-A0E4-E4F71CC8B251}"/>
            </a:ext>
          </a:extLst>
        </xdr:cNvPr>
        <xdr:cNvSpPr txBox="1">
          <a:spLocks noChangeArrowheads="1"/>
        </xdr:cNvSpPr>
      </xdr:nvSpPr>
      <xdr:spPr bwMode="auto">
        <a:xfrm>
          <a:off x="2632869" y="17558544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10</xdr:col>
      <xdr:colOff>119064</xdr:colOff>
      <xdr:row>98</xdr:row>
      <xdr:rowOff>95250</xdr:rowOff>
    </xdr:from>
    <xdr:to>
      <xdr:col>17</xdr:col>
      <xdr:colOff>130971</xdr:colOff>
      <xdr:row>109</xdr:row>
      <xdr:rowOff>71439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69220BF3-114A-4128-AC44-4FDC852324CC}"/>
            </a:ext>
          </a:extLst>
        </xdr:cNvPr>
        <xdr:cNvSpPr/>
      </xdr:nvSpPr>
      <xdr:spPr bwMode="auto">
        <a:xfrm>
          <a:off x="2316164" y="16681450"/>
          <a:ext cx="1612107" cy="1804989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142874</xdr:colOff>
      <xdr:row>19</xdr:row>
      <xdr:rowOff>0</xdr:rowOff>
    </xdr:from>
    <xdr:to>
      <xdr:col>26</xdr:col>
      <xdr:colOff>224029</xdr:colOff>
      <xdr:row>60</xdr:row>
      <xdr:rowOff>142875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1AF1DAF-0BE7-465D-A93B-5DD54971C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4" y="3206750"/>
          <a:ext cx="5935855" cy="7178675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16</xdr:row>
      <xdr:rowOff>9525</xdr:rowOff>
    </xdr:from>
    <xdr:to>
      <xdr:col>5</xdr:col>
      <xdr:colOff>123825</xdr:colOff>
      <xdr:row>18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F852E8A-899E-4FC2-AA3A-86FBA192E964}"/>
            </a:ext>
          </a:extLst>
        </xdr:cNvPr>
        <xdr:cNvSpPr>
          <a:spLocks/>
        </xdr:cNvSpPr>
      </xdr:nvSpPr>
      <xdr:spPr bwMode="auto">
        <a:xfrm>
          <a:off x="1101725" y="26828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25</xdr:col>
      <xdr:colOff>1</xdr:colOff>
      <xdr:row>15</xdr:row>
      <xdr:rowOff>171450</xdr:rowOff>
    </xdr:from>
    <xdr:to>
      <xdr:col>25</xdr:col>
      <xdr:colOff>47626</xdr:colOff>
      <xdr:row>17</xdr:row>
      <xdr:rowOff>161925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75A20C17-B9FB-4AFD-9419-7A8DF385D546}"/>
            </a:ext>
          </a:extLst>
        </xdr:cNvPr>
        <xdr:cNvSpPr>
          <a:spLocks/>
        </xdr:cNvSpPr>
      </xdr:nvSpPr>
      <xdr:spPr bwMode="auto">
        <a:xfrm rot="10800000">
          <a:off x="5626101" y="2667000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11</xdr:col>
      <xdr:colOff>207168</xdr:colOff>
      <xdr:row>41</xdr:row>
      <xdr:rowOff>83343</xdr:rowOff>
    </xdr:from>
    <xdr:ext cx="923925" cy="226219"/>
    <xdr:sp macro="" textlink="">
      <xdr:nvSpPr>
        <xdr:cNvPr id="11" name="Text Box 61">
          <a:extLst>
            <a:ext uri="{FF2B5EF4-FFF2-40B4-BE49-F238E27FC236}">
              <a16:creationId xmlns:a16="http://schemas.microsoft.com/office/drawing/2014/main" id="{35A24BA7-00DE-4F7E-9B04-7501E9B1F96C}"/>
            </a:ext>
          </a:extLst>
        </xdr:cNvPr>
        <xdr:cNvSpPr txBox="1">
          <a:spLocks noChangeArrowheads="1"/>
        </xdr:cNvSpPr>
      </xdr:nvSpPr>
      <xdr:spPr bwMode="auto">
        <a:xfrm>
          <a:off x="2632868" y="7074693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72</xdr:col>
      <xdr:colOff>171450</xdr:colOff>
      <xdr:row>26</xdr:row>
      <xdr:rowOff>142875</xdr:rowOff>
    </xdr:from>
    <xdr:to>
      <xdr:col>76</xdr:col>
      <xdr:colOff>104775</xdr:colOff>
      <xdr:row>29</xdr:row>
      <xdr:rowOff>104775</xdr:rowOff>
    </xdr:to>
    <xdr:grpSp>
      <xdr:nvGrpSpPr>
        <xdr:cNvPr id="12" name="Group 661">
          <a:extLst>
            <a:ext uri="{FF2B5EF4-FFF2-40B4-BE49-F238E27FC236}">
              <a16:creationId xmlns:a16="http://schemas.microsoft.com/office/drawing/2014/main" id="{7F99144F-119F-4D52-A086-9DC94533E303}"/>
            </a:ext>
          </a:extLst>
        </xdr:cNvPr>
        <xdr:cNvGrpSpPr>
          <a:grpSpLocks/>
        </xdr:cNvGrpSpPr>
      </xdr:nvGrpSpPr>
      <xdr:grpSpPr bwMode="auto">
        <a:xfrm>
          <a:off x="16236950" y="4413250"/>
          <a:ext cx="1012825" cy="469900"/>
          <a:chOff x="1683" y="115"/>
          <a:chExt cx="105" cy="52"/>
        </a:xfrm>
      </xdr:grpSpPr>
      <xdr:sp macro="" textlink="">
        <xdr:nvSpPr>
          <xdr:cNvPr id="13" name="Line 659">
            <a:extLst>
              <a:ext uri="{FF2B5EF4-FFF2-40B4-BE49-F238E27FC236}">
                <a16:creationId xmlns:a16="http://schemas.microsoft.com/office/drawing/2014/main" id="{DE308FA0-5645-40B7-B0C2-4CEF482D0299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Text Box 660">
            <a:extLst>
              <a:ext uri="{FF2B5EF4-FFF2-40B4-BE49-F238E27FC236}">
                <a16:creationId xmlns:a16="http://schemas.microsoft.com/office/drawing/2014/main" id="{04114252-9AA8-4A46-BA4F-E5635430CE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5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29</xdr:row>
      <xdr:rowOff>28575</xdr:rowOff>
    </xdr:from>
    <xdr:to>
      <xdr:col>76</xdr:col>
      <xdr:colOff>104775</xdr:colOff>
      <xdr:row>31</xdr:row>
      <xdr:rowOff>142875</xdr:rowOff>
    </xdr:to>
    <xdr:grpSp>
      <xdr:nvGrpSpPr>
        <xdr:cNvPr id="15" name="Group 662">
          <a:extLst>
            <a:ext uri="{FF2B5EF4-FFF2-40B4-BE49-F238E27FC236}">
              <a16:creationId xmlns:a16="http://schemas.microsoft.com/office/drawing/2014/main" id="{70A8024A-A966-4FD7-9AE3-2CDCCA6BE600}"/>
            </a:ext>
          </a:extLst>
        </xdr:cNvPr>
        <xdr:cNvGrpSpPr>
          <a:grpSpLocks/>
        </xdr:cNvGrpSpPr>
      </xdr:nvGrpSpPr>
      <xdr:grpSpPr bwMode="auto">
        <a:xfrm>
          <a:off x="16236950" y="4806950"/>
          <a:ext cx="1012825" cy="463550"/>
          <a:chOff x="1683" y="117"/>
          <a:chExt cx="105" cy="50"/>
        </a:xfrm>
      </xdr:grpSpPr>
      <xdr:sp macro="" textlink="">
        <xdr:nvSpPr>
          <xdr:cNvPr id="16" name="Line 663">
            <a:extLst>
              <a:ext uri="{FF2B5EF4-FFF2-40B4-BE49-F238E27FC236}">
                <a16:creationId xmlns:a16="http://schemas.microsoft.com/office/drawing/2014/main" id="{9D8B7DF5-1420-44EE-8C03-50A36EA5DECE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664">
            <a:extLst>
              <a:ext uri="{FF2B5EF4-FFF2-40B4-BE49-F238E27FC236}">
                <a16:creationId xmlns:a16="http://schemas.microsoft.com/office/drawing/2014/main" id="{50474727-5158-44F7-9AE7-F823F2D204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7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31</xdr:row>
      <xdr:rowOff>28575</xdr:rowOff>
    </xdr:from>
    <xdr:to>
      <xdr:col>76</xdr:col>
      <xdr:colOff>104775</xdr:colOff>
      <xdr:row>33</xdr:row>
      <xdr:rowOff>161925</xdr:rowOff>
    </xdr:to>
    <xdr:grpSp>
      <xdr:nvGrpSpPr>
        <xdr:cNvPr id="18" name="Group 665">
          <a:extLst>
            <a:ext uri="{FF2B5EF4-FFF2-40B4-BE49-F238E27FC236}">
              <a16:creationId xmlns:a16="http://schemas.microsoft.com/office/drawing/2014/main" id="{5732F1B3-0986-41EF-BB2A-2E54A3F70FA7}"/>
            </a:ext>
          </a:extLst>
        </xdr:cNvPr>
        <xdr:cNvGrpSpPr>
          <a:grpSpLocks/>
        </xdr:cNvGrpSpPr>
      </xdr:nvGrpSpPr>
      <xdr:grpSpPr bwMode="auto">
        <a:xfrm>
          <a:off x="16236950" y="5156200"/>
          <a:ext cx="1012825" cy="482600"/>
          <a:chOff x="1683" y="115"/>
          <a:chExt cx="105" cy="52"/>
        </a:xfrm>
      </xdr:grpSpPr>
      <xdr:sp macro="" textlink="">
        <xdr:nvSpPr>
          <xdr:cNvPr id="19" name="Line 666">
            <a:extLst>
              <a:ext uri="{FF2B5EF4-FFF2-40B4-BE49-F238E27FC236}">
                <a16:creationId xmlns:a16="http://schemas.microsoft.com/office/drawing/2014/main" id="{842F1B1E-0C4C-49E8-8B45-CCEC12128A82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Text Box 667">
            <a:extLst>
              <a:ext uri="{FF2B5EF4-FFF2-40B4-BE49-F238E27FC236}">
                <a16:creationId xmlns:a16="http://schemas.microsoft.com/office/drawing/2014/main" id="{732834F1-68EF-4FBC-B209-CBDB4BF76E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5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33</xdr:row>
      <xdr:rowOff>28575</xdr:rowOff>
    </xdr:from>
    <xdr:to>
      <xdr:col>76</xdr:col>
      <xdr:colOff>104775</xdr:colOff>
      <xdr:row>35</xdr:row>
      <xdr:rowOff>171450</xdr:rowOff>
    </xdr:to>
    <xdr:grpSp>
      <xdr:nvGrpSpPr>
        <xdr:cNvPr id="21" name="Group 668">
          <a:extLst>
            <a:ext uri="{FF2B5EF4-FFF2-40B4-BE49-F238E27FC236}">
              <a16:creationId xmlns:a16="http://schemas.microsoft.com/office/drawing/2014/main" id="{95D08FB4-5502-4C28-AAD6-9AD5A30B5F55}"/>
            </a:ext>
          </a:extLst>
        </xdr:cNvPr>
        <xdr:cNvGrpSpPr>
          <a:grpSpLocks/>
        </xdr:cNvGrpSpPr>
      </xdr:nvGrpSpPr>
      <xdr:grpSpPr bwMode="auto">
        <a:xfrm>
          <a:off x="16236950" y="5505450"/>
          <a:ext cx="1012825" cy="492125"/>
          <a:chOff x="1683" y="114"/>
          <a:chExt cx="105" cy="53"/>
        </a:xfrm>
      </xdr:grpSpPr>
      <xdr:sp macro="" textlink="">
        <xdr:nvSpPr>
          <xdr:cNvPr id="22" name="Line 669">
            <a:extLst>
              <a:ext uri="{FF2B5EF4-FFF2-40B4-BE49-F238E27FC236}">
                <a16:creationId xmlns:a16="http://schemas.microsoft.com/office/drawing/2014/main" id="{F6E01366-3804-401A-B442-7EA3551C8A7E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Text Box 670">
            <a:extLst>
              <a:ext uri="{FF2B5EF4-FFF2-40B4-BE49-F238E27FC236}">
                <a16:creationId xmlns:a16="http://schemas.microsoft.com/office/drawing/2014/main" id="{1A685E9C-E52C-46F6-A018-E8440EF12E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4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28</xdr:row>
      <xdr:rowOff>0</xdr:rowOff>
    </xdr:from>
    <xdr:to>
      <xdr:col>78</xdr:col>
      <xdr:colOff>66675</xdr:colOff>
      <xdr:row>30</xdr:row>
      <xdr:rowOff>123825</xdr:rowOff>
    </xdr:to>
    <xdr:grpSp>
      <xdr:nvGrpSpPr>
        <xdr:cNvPr id="24" name="Group 674">
          <a:extLst>
            <a:ext uri="{FF2B5EF4-FFF2-40B4-BE49-F238E27FC236}">
              <a16:creationId xmlns:a16="http://schemas.microsoft.com/office/drawing/2014/main" id="{DDB1A4AA-CE36-4726-B6A9-3ADE3B5B55F2}"/>
            </a:ext>
          </a:extLst>
        </xdr:cNvPr>
        <xdr:cNvGrpSpPr>
          <a:grpSpLocks/>
        </xdr:cNvGrpSpPr>
      </xdr:nvGrpSpPr>
      <xdr:grpSpPr bwMode="auto">
        <a:xfrm>
          <a:off x="16776700" y="4603750"/>
          <a:ext cx="974725" cy="473075"/>
          <a:chOff x="1889" y="116"/>
          <a:chExt cx="101" cy="51"/>
        </a:xfrm>
      </xdr:grpSpPr>
      <xdr:sp macro="" textlink="">
        <xdr:nvSpPr>
          <xdr:cNvPr id="25" name="Line 672">
            <a:extLst>
              <a:ext uri="{FF2B5EF4-FFF2-40B4-BE49-F238E27FC236}">
                <a16:creationId xmlns:a16="http://schemas.microsoft.com/office/drawing/2014/main" id="{46E2CD64-15AC-4ADE-AC9B-A9C22900C609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Text Box 673">
            <a:extLst>
              <a:ext uri="{FF2B5EF4-FFF2-40B4-BE49-F238E27FC236}">
                <a16:creationId xmlns:a16="http://schemas.microsoft.com/office/drawing/2014/main" id="{5BEA5571-3A21-441C-B34A-9C9B7A5C23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6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30</xdr:row>
      <xdr:rowOff>28575</xdr:rowOff>
    </xdr:from>
    <xdr:to>
      <xdr:col>78</xdr:col>
      <xdr:colOff>66675</xdr:colOff>
      <xdr:row>32</xdr:row>
      <xdr:rowOff>161925</xdr:rowOff>
    </xdr:to>
    <xdr:grpSp>
      <xdr:nvGrpSpPr>
        <xdr:cNvPr id="27" name="Group 675">
          <a:extLst>
            <a:ext uri="{FF2B5EF4-FFF2-40B4-BE49-F238E27FC236}">
              <a16:creationId xmlns:a16="http://schemas.microsoft.com/office/drawing/2014/main" id="{023C154C-CD8B-4D72-A003-5F5582059CFD}"/>
            </a:ext>
          </a:extLst>
        </xdr:cNvPr>
        <xdr:cNvGrpSpPr>
          <a:grpSpLocks/>
        </xdr:cNvGrpSpPr>
      </xdr:nvGrpSpPr>
      <xdr:grpSpPr bwMode="auto">
        <a:xfrm>
          <a:off x="16776700" y="4981575"/>
          <a:ext cx="974725" cy="482600"/>
          <a:chOff x="1889" y="115"/>
          <a:chExt cx="101" cy="52"/>
        </a:xfrm>
      </xdr:grpSpPr>
      <xdr:sp macro="" textlink="">
        <xdr:nvSpPr>
          <xdr:cNvPr id="28" name="Line 676">
            <a:extLst>
              <a:ext uri="{FF2B5EF4-FFF2-40B4-BE49-F238E27FC236}">
                <a16:creationId xmlns:a16="http://schemas.microsoft.com/office/drawing/2014/main" id="{91C6C06E-8F11-43D1-99CD-D6363FED8A04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Text Box 677">
            <a:extLst>
              <a:ext uri="{FF2B5EF4-FFF2-40B4-BE49-F238E27FC236}">
                <a16:creationId xmlns:a16="http://schemas.microsoft.com/office/drawing/2014/main" id="{BB4647C7-CAAA-4D87-9EA8-3547FF8D29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5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32</xdr:row>
      <xdr:rowOff>47625</xdr:rowOff>
    </xdr:from>
    <xdr:to>
      <xdr:col>78</xdr:col>
      <xdr:colOff>66675</xdr:colOff>
      <xdr:row>35</xdr:row>
      <xdr:rowOff>0</xdr:rowOff>
    </xdr:to>
    <xdr:grpSp>
      <xdr:nvGrpSpPr>
        <xdr:cNvPr id="30" name="Group 687">
          <a:extLst>
            <a:ext uri="{FF2B5EF4-FFF2-40B4-BE49-F238E27FC236}">
              <a16:creationId xmlns:a16="http://schemas.microsoft.com/office/drawing/2014/main" id="{7AD8A2D0-C857-4D60-A8DB-CDB1B4AEFABA}"/>
            </a:ext>
          </a:extLst>
        </xdr:cNvPr>
        <xdr:cNvGrpSpPr>
          <a:grpSpLocks/>
        </xdr:cNvGrpSpPr>
      </xdr:nvGrpSpPr>
      <xdr:grpSpPr bwMode="auto">
        <a:xfrm>
          <a:off x="16776700" y="5349875"/>
          <a:ext cx="974725" cy="476250"/>
          <a:chOff x="1889" y="115"/>
          <a:chExt cx="101" cy="52"/>
        </a:xfrm>
      </xdr:grpSpPr>
      <xdr:sp macro="" textlink="">
        <xdr:nvSpPr>
          <xdr:cNvPr id="31" name="Line 688">
            <a:extLst>
              <a:ext uri="{FF2B5EF4-FFF2-40B4-BE49-F238E27FC236}">
                <a16:creationId xmlns:a16="http://schemas.microsoft.com/office/drawing/2014/main" id="{775C832F-2CCE-469B-A0EF-515F12CEDBFC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Text Box 689">
            <a:extLst>
              <a:ext uri="{FF2B5EF4-FFF2-40B4-BE49-F238E27FC236}">
                <a16:creationId xmlns:a16="http://schemas.microsoft.com/office/drawing/2014/main" id="{B852DD41-2792-47AA-94C9-6C02F5876A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5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34</xdr:row>
      <xdr:rowOff>76200</xdr:rowOff>
    </xdr:from>
    <xdr:to>
      <xdr:col>78</xdr:col>
      <xdr:colOff>66675</xdr:colOff>
      <xdr:row>37</xdr:row>
      <xdr:rowOff>9525</xdr:rowOff>
    </xdr:to>
    <xdr:grpSp>
      <xdr:nvGrpSpPr>
        <xdr:cNvPr id="33" name="Group 690">
          <a:extLst>
            <a:ext uri="{FF2B5EF4-FFF2-40B4-BE49-F238E27FC236}">
              <a16:creationId xmlns:a16="http://schemas.microsoft.com/office/drawing/2014/main" id="{6A5155CB-872E-44B3-9056-AB2443566EA3}"/>
            </a:ext>
          </a:extLst>
        </xdr:cNvPr>
        <xdr:cNvGrpSpPr>
          <a:grpSpLocks/>
        </xdr:cNvGrpSpPr>
      </xdr:nvGrpSpPr>
      <xdr:grpSpPr bwMode="auto">
        <a:xfrm>
          <a:off x="16776700" y="5727700"/>
          <a:ext cx="974725" cy="457200"/>
          <a:chOff x="1889" y="117"/>
          <a:chExt cx="101" cy="50"/>
        </a:xfrm>
      </xdr:grpSpPr>
      <xdr:sp macro="" textlink="">
        <xdr:nvSpPr>
          <xdr:cNvPr id="34" name="Line 691">
            <a:extLst>
              <a:ext uri="{FF2B5EF4-FFF2-40B4-BE49-F238E27FC236}">
                <a16:creationId xmlns:a16="http://schemas.microsoft.com/office/drawing/2014/main" id="{908A6E03-C5F2-4A22-B64C-C2BD79FCB9AE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Text Box 692">
            <a:extLst>
              <a:ext uri="{FF2B5EF4-FFF2-40B4-BE49-F238E27FC236}">
                <a16:creationId xmlns:a16="http://schemas.microsoft.com/office/drawing/2014/main" id="{4E3169EE-670E-4019-97E5-9C6C41E9F6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7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oneCellAnchor>
    <xdr:from>
      <xdr:col>74</xdr:col>
      <xdr:colOff>142875</xdr:colOff>
      <xdr:row>9</xdr:row>
      <xdr:rowOff>28575</xdr:rowOff>
    </xdr:from>
    <xdr:ext cx="719138" cy="226219"/>
    <xdr:sp macro="" textlink="">
      <xdr:nvSpPr>
        <xdr:cNvPr id="36" name="Text Box 693">
          <a:extLst>
            <a:ext uri="{FF2B5EF4-FFF2-40B4-BE49-F238E27FC236}">
              <a16:creationId xmlns:a16="http://schemas.microsoft.com/office/drawing/2014/main" id="{B915ECCB-40C3-4B04-BA81-7C1CAC2FEFAF}"/>
            </a:ext>
          </a:extLst>
        </xdr:cNvPr>
        <xdr:cNvSpPr txBox="1">
          <a:spLocks noChangeArrowheads="1"/>
        </xdr:cNvSpPr>
      </xdr:nvSpPr>
      <xdr:spPr bwMode="auto">
        <a:xfrm>
          <a:off x="17294225" y="1457325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8</xdr:row>
      <xdr:rowOff>57150</xdr:rowOff>
    </xdr:from>
    <xdr:to>
      <xdr:col>78</xdr:col>
      <xdr:colOff>247650</xdr:colOff>
      <xdr:row>11</xdr:row>
      <xdr:rowOff>66675</xdr:rowOff>
    </xdr:to>
    <xdr:sp macro="" textlink="">
      <xdr:nvSpPr>
        <xdr:cNvPr id="37" name="Freeform 694">
          <a:extLst>
            <a:ext uri="{FF2B5EF4-FFF2-40B4-BE49-F238E27FC236}">
              <a16:creationId xmlns:a16="http://schemas.microsoft.com/office/drawing/2014/main" id="{15305E2A-83FA-4D8F-8F90-2DECDE4FC50B}"/>
            </a:ext>
          </a:extLst>
        </xdr:cNvPr>
        <xdr:cNvSpPr>
          <a:spLocks/>
        </xdr:cNvSpPr>
      </xdr:nvSpPr>
      <xdr:spPr bwMode="auto">
        <a:xfrm>
          <a:off x="16837025" y="1257300"/>
          <a:ext cx="1628775" cy="593725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13</xdr:row>
      <xdr:rowOff>0</xdr:rowOff>
    </xdr:from>
    <xdr:ext cx="719138" cy="226219"/>
    <xdr:sp macro="" textlink="">
      <xdr:nvSpPr>
        <xdr:cNvPr id="38" name="Text Box 695">
          <a:extLst>
            <a:ext uri="{FF2B5EF4-FFF2-40B4-BE49-F238E27FC236}">
              <a16:creationId xmlns:a16="http://schemas.microsoft.com/office/drawing/2014/main" id="{EC9A26AC-2946-47E3-80D6-65E73B5D869C}"/>
            </a:ext>
          </a:extLst>
        </xdr:cNvPr>
        <xdr:cNvSpPr txBox="1">
          <a:spLocks noChangeArrowheads="1"/>
        </xdr:cNvSpPr>
      </xdr:nvSpPr>
      <xdr:spPr bwMode="auto">
        <a:xfrm>
          <a:off x="17294225" y="2139950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12</xdr:row>
      <xdr:rowOff>0</xdr:rowOff>
    </xdr:from>
    <xdr:to>
      <xdr:col>78</xdr:col>
      <xdr:colOff>247650</xdr:colOff>
      <xdr:row>15</xdr:row>
      <xdr:rowOff>0</xdr:rowOff>
    </xdr:to>
    <xdr:sp macro="" textlink="">
      <xdr:nvSpPr>
        <xdr:cNvPr id="39" name="Freeform 696">
          <a:extLst>
            <a:ext uri="{FF2B5EF4-FFF2-40B4-BE49-F238E27FC236}">
              <a16:creationId xmlns:a16="http://schemas.microsoft.com/office/drawing/2014/main" id="{EFB9727B-E978-4634-8EDC-AB568C202F53}"/>
            </a:ext>
          </a:extLst>
        </xdr:cNvPr>
        <xdr:cNvSpPr>
          <a:spLocks/>
        </xdr:cNvSpPr>
      </xdr:nvSpPr>
      <xdr:spPr bwMode="auto">
        <a:xfrm>
          <a:off x="16837025" y="1962150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16</xdr:row>
      <xdr:rowOff>76200</xdr:rowOff>
    </xdr:from>
    <xdr:ext cx="719138" cy="226219"/>
    <xdr:sp macro="" textlink="">
      <xdr:nvSpPr>
        <xdr:cNvPr id="40" name="Text Box 697">
          <a:extLst>
            <a:ext uri="{FF2B5EF4-FFF2-40B4-BE49-F238E27FC236}">
              <a16:creationId xmlns:a16="http://schemas.microsoft.com/office/drawing/2014/main" id="{FA755527-B502-4BA9-BBE0-38D59C32A00F}"/>
            </a:ext>
          </a:extLst>
        </xdr:cNvPr>
        <xdr:cNvSpPr txBox="1">
          <a:spLocks noChangeArrowheads="1"/>
        </xdr:cNvSpPr>
      </xdr:nvSpPr>
      <xdr:spPr bwMode="auto">
        <a:xfrm>
          <a:off x="17294225" y="2749550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15</xdr:row>
      <xdr:rowOff>123825</xdr:rowOff>
    </xdr:from>
    <xdr:to>
      <xdr:col>78</xdr:col>
      <xdr:colOff>247650</xdr:colOff>
      <xdr:row>18</xdr:row>
      <xdr:rowOff>123825</xdr:rowOff>
    </xdr:to>
    <xdr:sp macro="" textlink="">
      <xdr:nvSpPr>
        <xdr:cNvPr id="41" name="Freeform 698">
          <a:extLst>
            <a:ext uri="{FF2B5EF4-FFF2-40B4-BE49-F238E27FC236}">
              <a16:creationId xmlns:a16="http://schemas.microsoft.com/office/drawing/2014/main" id="{B852AF25-5D43-476C-9AB7-A94243B9414F}"/>
            </a:ext>
          </a:extLst>
        </xdr:cNvPr>
        <xdr:cNvSpPr>
          <a:spLocks/>
        </xdr:cNvSpPr>
      </xdr:nvSpPr>
      <xdr:spPr bwMode="auto">
        <a:xfrm>
          <a:off x="16837025" y="2619375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20</xdr:row>
      <xdr:rowOff>28575</xdr:rowOff>
    </xdr:from>
    <xdr:ext cx="719138" cy="226219"/>
    <xdr:sp macro="" textlink="">
      <xdr:nvSpPr>
        <xdr:cNvPr id="42" name="Text Box 699">
          <a:extLst>
            <a:ext uri="{FF2B5EF4-FFF2-40B4-BE49-F238E27FC236}">
              <a16:creationId xmlns:a16="http://schemas.microsoft.com/office/drawing/2014/main" id="{C8AD4339-A2C7-4555-97DE-B7CD5EE850F8}"/>
            </a:ext>
          </a:extLst>
        </xdr:cNvPr>
        <xdr:cNvSpPr txBox="1">
          <a:spLocks noChangeArrowheads="1"/>
        </xdr:cNvSpPr>
      </xdr:nvSpPr>
      <xdr:spPr bwMode="auto">
        <a:xfrm>
          <a:off x="17294225" y="3413125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19</xdr:row>
      <xdr:rowOff>57150</xdr:rowOff>
    </xdr:from>
    <xdr:to>
      <xdr:col>78</xdr:col>
      <xdr:colOff>247650</xdr:colOff>
      <xdr:row>22</xdr:row>
      <xdr:rowOff>57150</xdr:rowOff>
    </xdr:to>
    <xdr:sp macro="" textlink="">
      <xdr:nvSpPr>
        <xdr:cNvPr id="43" name="Freeform 700">
          <a:extLst>
            <a:ext uri="{FF2B5EF4-FFF2-40B4-BE49-F238E27FC236}">
              <a16:creationId xmlns:a16="http://schemas.microsoft.com/office/drawing/2014/main" id="{2F5933E7-5381-45B1-AB1E-BE1570F3E6BE}"/>
            </a:ext>
          </a:extLst>
        </xdr:cNvPr>
        <xdr:cNvSpPr>
          <a:spLocks/>
        </xdr:cNvSpPr>
      </xdr:nvSpPr>
      <xdr:spPr bwMode="auto">
        <a:xfrm>
          <a:off x="16837025" y="3263900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78</xdr:row>
      <xdr:rowOff>9525</xdr:rowOff>
    </xdr:from>
    <xdr:to>
      <xdr:col>5</xdr:col>
      <xdr:colOff>123825</xdr:colOff>
      <xdr:row>80</xdr:row>
      <xdr:rowOff>0</xdr:rowOff>
    </xdr:to>
    <xdr:sp macro="" textlink="">
      <xdr:nvSpPr>
        <xdr:cNvPr id="44" name="AutoShape 1063">
          <a:extLst>
            <a:ext uri="{FF2B5EF4-FFF2-40B4-BE49-F238E27FC236}">
              <a16:creationId xmlns:a16="http://schemas.microsoft.com/office/drawing/2014/main" id="{B01B0601-C052-4495-A9FC-479A58C106F4}"/>
            </a:ext>
          </a:extLst>
        </xdr:cNvPr>
        <xdr:cNvSpPr>
          <a:spLocks/>
        </xdr:cNvSpPr>
      </xdr:nvSpPr>
      <xdr:spPr bwMode="auto">
        <a:xfrm>
          <a:off x="1101725" y="131667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78</xdr:row>
      <xdr:rowOff>9525</xdr:rowOff>
    </xdr:from>
    <xdr:to>
      <xdr:col>25</xdr:col>
      <xdr:colOff>28575</xdr:colOff>
      <xdr:row>80</xdr:row>
      <xdr:rowOff>0</xdr:rowOff>
    </xdr:to>
    <xdr:sp macro="" textlink="">
      <xdr:nvSpPr>
        <xdr:cNvPr id="45" name="AutoShape 1064">
          <a:extLst>
            <a:ext uri="{FF2B5EF4-FFF2-40B4-BE49-F238E27FC236}">
              <a16:creationId xmlns:a16="http://schemas.microsoft.com/office/drawing/2014/main" id="{D83E14D7-2085-4EDA-B6D6-0512E45DE239}"/>
            </a:ext>
          </a:extLst>
        </xdr:cNvPr>
        <xdr:cNvSpPr>
          <a:spLocks/>
        </xdr:cNvSpPr>
      </xdr:nvSpPr>
      <xdr:spPr bwMode="auto">
        <a:xfrm rot="10800000">
          <a:off x="5607050" y="131667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140</xdr:row>
      <xdr:rowOff>9525</xdr:rowOff>
    </xdr:from>
    <xdr:to>
      <xdr:col>5</xdr:col>
      <xdr:colOff>123825</xdr:colOff>
      <xdr:row>142</xdr:row>
      <xdr:rowOff>0</xdr:rowOff>
    </xdr:to>
    <xdr:sp macro="" textlink="">
      <xdr:nvSpPr>
        <xdr:cNvPr id="46" name="AutoShape 1065">
          <a:extLst>
            <a:ext uri="{FF2B5EF4-FFF2-40B4-BE49-F238E27FC236}">
              <a16:creationId xmlns:a16="http://schemas.microsoft.com/office/drawing/2014/main" id="{362DCBDC-88C7-4247-BDEE-72B204E140C3}"/>
            </a:ext>
          </a:extLst>
        </xdr:cNvPr>
        <xdr:cNvSpPr>
          <a:spLocks/>
        </xdr:cNvSpPr>
      </xdr:nvSpPr>
      <xdr:spPr bwMode="auto">
        <a:xfrm>
          <a:off x="1101725" y="236505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140</xdr:row>
      <xdr:rowOff>9525</xdr:rowOff>
    </xdr:from>
    <xdr:to>
      <xdr:col>25</xdr:col>
      <xdr:colOff>28575</xdr:colOff>
      <xdr:row>142</xdr:row>
      <xdr:rowOff>0</xdr:rowOff>
    </xdr:to>
    <xdr:sp macro="" textlink="">
      <xdr:nvSpPr>
        <xdr:cNvPr id="47" name="AutoShape 1066">
          <a:extLst>
            <a:ext uri="{FF2B5EF4-FFF2-40B4-BE49-F238E27FC236}">
              <a16:creationId xmlns:a16="http://schemas.microsoft.com/office/drawing/2014/main" id="{47BBA879-C421-4409-8213-B694E9192FF6}"/>
            </a:ext>
          </a:extLst>
        </xdr:cNvPr>
        <xdr:cNvSpPr>
          <a:spLocks/>
        </xdr:cNvSpPr>
      </xdr:nvSpPr>
      <xdr:spPr bwMode="auto">
        <a:xfrm rot="10800000">
          <a:off x="5607050" y="2365057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202</xdr:row>
      <xdr:rowOff>9525</xdr:rowOff>
    </xdr:from>
    <xdr:to>
      <xdr:col>5</xdr:col>
      <xdr:colOff>123825</xdr:colOff>
      <xdr:row>204</xdr:row>
      <xdr:rowOff>0</xdr:rowOff>
    </xdr:to>
    <xdr:sp macro="" textlink="">
      <xdr:nvSpPr>
        <xdr:cNvPr id="48" name="AutoShape 1067">
          <a:extLst>
            <a:ext uri="{FF2B5EF4-FFF2-40B4-BE49-F238E27FC236}">
              <a16:creationId xmlns:a16="http://schemas.microsoft.com/office/drawing/2014/main" id="{F004AACF-F130-438E-8688-951E6C14904D}"/>
            </a:ext>
          </a:extLst>
        </xdr:cNvPr>
        <xdr:cNvSpPr>
          <a:spLocks/>
        </xdr:cNvSpPr>
      </xdr:nvSpPr>
      <xdr:spPr bwMode="auto">
        <a:xfrm>
          <a:off x="1101725" y="341344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202</xdr:row>
      <xdr:rowOff>9525</xdr:rowOff>
    </xdr:from>
    <xdr:to>
      <xdr:col>25</xdr:col>
      <xdr:colOff>28575</xdr:colOff>
      <xdr:row>204</xdr:row>
      <xdr:rowOff>0</xdr:rowOff>
    </xdr:to>
    <xdr:sp macro="" textlink="">
      <xdr:nvSpPr>
        <xdr:cNvPr id="49" name="AutoShape 1068">
          <a:extLst>
            <a:ext uri="{FF2B5EF4-FFF2-40B4-BE49-F238E27FC236}">
              <a16:creationId xmlns:a16="http://schemas.microsoft.com/office/drawing/2014/main" id="{C0630DB1-0EE6-4ABD-AD1F-3C84015ABE5B}"/>
            </a:ext>
          </a:extLst>
        </xdr:cNvPr>
        <xdr:cNvSpPr>
          <a:spLocks/>
        </xdr:cNvSpPr>
      </xdr:nvSpPr>
      <xdr:spPr bwMode="auto">
        <a:xfrm rot="10800000">
          <a:off x="5607050" y="341344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264</xdr:row>
      <xdr:rowOff>9525</xdr:rowOff>
    </xdr:from>
    <xdr:to>
      <xdr:col>5</xdr:col>
      <xdr:colOff>123825</xdr:colOff>
      <xdr:row>266</xdr:row>
      <xdr:rowOff>0</xdr:rowOff>
    </xdr:to>
    <xdr:sp macro="" textlink="">
      <xdr:nvSpPr>
        <xdr:cNvPr id="50" name="AutoShape 1069">
          <a:extLst>
            <a:ext uri="{FF2B5EF4-FFF2-40B4-BE49-F238E27FC236}">
              <a16:creationId xmlns:a16="http://schemas.microsoft.com/office/drawing/2014/main" id="{E4CEA2B0-F84B-4A3D-A168-61F6543C7E23}"/>
            </a:ext>
          </a:extLst>
        </xdr:cNvPr>
        <xdr:cNvSpPr>
          <a:spLocks/>
        </xdr:cNvSpPr>
      </xdr:nvSpPr>
      <xdr:spPr bwMode="auto">
        <a:xfrm>
          <a:off x="1101725" y="446182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264</xdr:row>
      <xdr:rowOff>9525</xdr:rowOff>
    </xdr:from>
    <xdr:to>
      <xdr:col>25</xdr:col>
      <xdr:colOff>28575</xdr:colOff>
      <xdr:row>266</xdr:row>
      <xdr:rowOff>0</xdr:rowOff>
    </xdr:to>
    <xdr:sp macro="" textlink="">
      <xdr:nvSpPr>
        <xdr:cNvPr id="51" name="AutoShape 1070">
          <a:extLst>
            <a:ext uri="{FF2B5EF4-FFF2-40B4-BE49-F238E27FC236}">
              <a16:creationId xmlns:a16="http://schemas.microsoft.com/office/drawing/2014/main" id="{71246A1B-4125-4AA1-A829-4ABBCEEE0399}"/>
            </a:ext>
          </a:extLst>
        </xdr:cNvPr>
        <xdr:cNvSpPr>
          <a:spLocks/>
        </xdr:cNvSpPr>
      </xdr:nvSpPr>
      <xdr:spPr bwMode="auto">
        <a:xfrm rot="10800000">
          <a:off x="5607050" y="4461827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326</xdr:row>
      <xdr:rowOff>9525</xdr:rowOff>
    </xdr:from>
    <xdr:to>
      <xdr:col>5</xdr:col>
      <xdr:colOff>123825</xdr:colOff>
      <xdr:row>328</xdr:row>
      <xdr:rowOff>0</xdr:rowOff>
    </xdr:to>
    <xdr:sp macro="" textlink="">
      <xdr:nvSpPr>
        <xdr:cNvPr id="52" name="AutoShape 1119">
          <a:extLst>
            <a:ext uri="{FF2B5EF4-FFF2-40B4-BE49-F238E27FC236}">
              <a16:creationId xmlns:a16="http://schemas.microsoft.com/office/drawing/2014/main" id="{3B5400EC-8B91-4977-9700-5AD2610BAC39}"/>
            </a:ext>
          </a:extLst>
        </xdr:cNvPr>
        <xdr:cNvSpPr>
          <a:spLocks/>
        </xdr:cNvSpPr>
      </xdr:nvSpPr>
      <xdr:spPr bwMode="auto">
        <a:xfrm>
          <a:off x="1101725" y="551021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326</xdr:row>
      <xdr:rowOff>9525</xdr:rowOff>
    </xdr:from>
    <xdr:to>
      <xdr:col>25</xdr:col>
      <xdr:colOff>28575</xdr:colOff>
      <xdr:row>328</xdr:row>
      <xdr:rowOff>0</xdr:rowOff>
    </xdr:to>
    <xdr:sp macro="" textlink="">
      <xdr:nvSpPr>
        <xdr:cNvPr id="53" name="AutoShape 1120">
          <a:extLst>
            <a:ext uri="{FF2B5EF4-FFF2-40B4-BE49-F238E27FC236}">
              <a16:creationId xmlns:a16="http://schemas.microsoft.com/office/drawing/2014/main" id="{8656C6A4-5E18-4C83-96DB-708F9FA45E7A}"/>
            </a:ext>
          </a:extLst>
        </xdr:cNvPr>
        <xdr:cNvSpPr>
          <a:spLocks/>
        </xdr:cNvSpPr>
      </xdr:nvSpPr>
      <xdr:spPr bwMode="auto">
        <a:xfrm rot="10800000">
          <a:off x="5607050" y="551021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40</xdr:col>
      <xdr:colOff>200025</xdr:colOff>
      <xdr:row>8</xdr:row>
      <xdr:rowOff>28575</xdr:rowOff>
    </xdr:from>
    <xdr:to>
      <xdr:col>45</xdr:col>
      <xdr:colOff>28575</xdr:colOff>
      <xdr:row>10</xdr:row>
      <xdr:rowOff>152400</xdr:rowOff>
    </xdr:to>
    <xdr:grpSp>
      <xdr:nvGrpSpPr>
        <xdr:cNvPr id="54" name="Group 1193">
          <a:extLst>
            <a:ext uri="{FF2B5EF4-FFF2-40B4-BE49-F238E27FC236}">
              <a16:creationId xmlns:a16="http://schemas.microsoft.com/office/drawing/2014/main" id="{EEBE923E-E0BA-4E0B-90EF-91377F662C54}"/>
            </a:ext>
          </a:extLst>
        </xdr:cNvPr>
        <xdr:cNvGrpSpPr>
          <a:grpSpLocks/>
        </xdr:cNvGrpSpPr>
      </xdr:nvGrpSpPr>
      <xdr:grpSpPr bwMode="auto">
        <a:xfrm>
          <a:off x="8851900" y="1235075"/>
          <a:ext cx="939800" cy="520700"/>
          <a:chOff x="986" y="117"/>
          <a:chExt cx="107" cy="50"/>
        </a:xfrm>
      </xdr:grpSpPr>
      <xdr:sp macro="" textlink="">
        <xdr:nvSpPr>
          <xdr:cNvPr id="55" name="Line 1194">
            <a:extLst>
              <a:ext uri="{FF2B5EF4-FFF2-40B4-BE49-F238E27FC236}">
                <a16:creationId xmlns:a16="http://schemas.microsoft.com/office/drawing/2014/main" id="{EB5B4814-25AF-4662-88E0-5059C495377E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Text Box 1195">
            <a:extLst>
              <a:ext uri="{FF2B5EF4-FFF2-40B4-BE49-F238E27FC236}">
                <a16:creationId xmlns:a16="http://schemas.microsoft.com/office/drawing/2014/main" id="{D64AAA6C-030A-4F9C-B29D-B3373169AE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9</xdr:row>
      <xdr:rowOff>142875</xdr:rowOff>
    </xdr:from>
    <xdr:to>
      <xdr:col>46</xdr:col>
      <xdr:colOff>28575</xdr:colOff>
      <xdr:row>12</xdr:row>
      <xdr:rowOff>95250</xdr:rowOff>
    </xdr:to>
    <xdr:grpSp>
      <xdr:nvGrpSpPr>
        <xdr:cNvPr id="57" name="Group 1196">
          <a:extLst>
            <a:ext uri="{FF2B5EF4-FFF2-40B4-BE49-F238E27FC236}">
              <a16:creationId xmlns:a16="http://schemas.microsoft.com/office/drawing/2014/main" id="{E0095261-0992-48D7-9427-E54EE36B7B2C}"/>
            </a:ext>
          </a:extLst>
        </xdr:cNvPr>
        <xdr:cNvGrpSpPr>
          <a:grpSpLocks/>
        </xdr:cNvGrpSpPr>
      </xdr:nvGrpSpPr>
      <xdr:grpSpPr bwMode="auto">
        <a:xfrm>
          <a:off x="9172575" y="1571625"/>
          <a:ext cx="841375" cy="476250"/>
          <a:chOff x="1148" y="209"/>
          <a:chExt cx="95" cy="52"/>
        </a:xfrm>
      </xdr:grpSpPr>
      <xdr:sp macro="" textlink="">
        <xdr:nvSpPr>
          <xdr:cNvPr id="58" name="Line 1197">
            <a:extLst>
              <a:ext uri="{FF2B5EF4-FFF2-40B4-BE49-F238E27FC236}">
                <a16:creationId xmlns:a16="http://schemas.microsoft.com/office/drawing/2014/main" id="{281FAC68-0CB5-436C-8598-7096920AEA0B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Text Box 1198">
            <a:extLst>
              <a:ext uri="{FF2B5EF4-FFF2-40B4-BE49-F238E27FC236}">
                <a16:creationId xmlns:a16="http://schemas.microsoft.com/office/drawing/2014/main" id="{5AB373C3-3C8B-44B3-8D4C-67ED92EDE0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8</xdr:row>
      <xdr:rowOff>28575</xdr:rowOff>
    </xdr:from>
    <xdr:to>
      <xdr:col>62</xdr:col>
      <xdr:colOff>28575</xdr:colOff>
      <xdr:row>10</xdr:row>
      <xdr:rowOff>152400</xdr:rowOff>
    </xdr:to>
    <xdr:grpSp>
      <xdr:nvGrpSpPr>
        <xdr:cNvPr id="60" name="Group 1199">
          <a:extLst>
            <a:ext uri="{FF2B5EF4-FFF2-40B4-BE49-F238E27FC236}">
              <a16:creationId xmlns:a16="http://schemas.microsoft.com/office/drawing/2014/main" id="{35B2E6A6-EC80-438D-8CE2-92C469F12345}"/>
            </a:ext>
          </a:extLst>
        </xdr:cNvPr>
        <xdr:cNvGrpSpPr>
          <a:grpSpLocks/>
        </xdr:cNvGrpSpPr>
      </xdr:nvGrpSpPr>
      <xdr:grpSpPr bwMode="auto">
        <a:xfrm>
          <a:off x="12630150" y="1235075"/>
          <a:ext cx="939800" cy="520700"/>
          <a:chOff x="986" y="117"/>
          <a:chExt cx="107" cy="50"/>
        </a:xfrm>
      </xdr:grpSpPr>
      <xdr:sp macro="" textlink="">
        <xdr:nvSpPr>
          <xdr:cNvPr id="61" name="Line 1200">
            <a:extLst>
              <a:ext uri="{FF2B5EF4-FFF2-40B4-BE49-F238E27FC236}">
                <a16:creationId xmlns:a16="http://schemas.microsoft.com/office/drawing/2014/main" id="{E0997F12-9C02-4714-B7B1-391C91618D9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Text Box 1201">
            <a:extLst>
              <a:ext uri="{FF2B5EF4-FFF2-40B4-BE49-F238E27FC236}">
                <a16:creationId xmlns:a16="http://schemas.microsoft.com/office/drawing/2014/main" id="{4D6E5E96-E511-4E06-82C7-3E75BBDCD7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9</xdr:row>
      <xdr:rowOff>142875</xdr:rowOff>
    </xdr:from>
    <xdr:to>
      <xdr:col>62</xdr:col>
      <xdr:colOff>171450</xdr:colOff>
      <xdr:row>12</xdr:row>
      <xdr:rowOff>95250</xdr:rowOff>
    </xdr:to>
    <xdr:grpSp>
      <xdr:nvGrpSpPr>
        <xdr:cNvPr id="63" name="Group 1202">
          <a:extLst>
            <a:ext uri="{FF2B5EF4-FFF2-40B4-BE49-F238E27FC236}">
              <a16:creationId xmlns:a16="http://schemas.microsoft.com/office/drawing/2014/main" id="{1F686F6E-617B-4400-81FF-203222F20C59}"/>
            </a:ext>
          </a:extLst>
        </xdr:cNvPr>
        <xdr:cNvGrpSpPr>
          <a:grpSpLocks/>
        </xdr:cNvGrpSpPr>
      </xdr:nvGrpSpPr>
      <xdr:grpSpPr bwMode="auto">
        <a:xfrm>
          <a:off x="12950825" y="1571625"/>
          <a:ext cx="762000" cy="476250"/>
          <a:chOff x="1148" y="209"/>
          <a:chExt cx="95" cy="52"/>
        </a:xfrm>
      </xdr:grpSpPr>
      <xdr:sp macro="" textlink="">
        <xdr:nvSpPr>
          <xdr:cNvPr id="64" name="Line 1203">
            <a:extLst>
              <a:ext uri="{FF2B5EF4-FFF2-40B4-BE49-F238E27FC236}">
                <a16:creationId xmlns:a16="http://schemas.microsoft.com/office/drawing/2014/main" id="{33B1665F-194C-4BE1-9A6A-EE3B1A8FB038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Text Box 1204">
            <a:extLst>
              <a:ext uri="{FF2B5EF4-FFF2-40B4-BE49-F238E27FC236}">
                <a16:creationId xmlns:a16="http://schemas.microsoft.com/office/drawing/2014/main" id="{1F0D6CFE-24D9-4A98-8904-88ACE7146B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26</xdr:row>
      <xdr:rowOff>47625</xdr:rowOff>
    </xdr:from>
    <xdr:to>
      <xdr:col>45</xdr:col>
      <xdr:colOff>28575</xdr:colOff>
      <xdr:row>28</xdr:row>
      <xdr:rowOff>171450</xdr:rowOff>
    </xdr:to>
    <xdr:grpSp>
      <xdr:nvGrpSpPr>
        <xdr:cNvPr id="66" name="Group 1205">
          <a:extLst>
            <a:ext uri="{FF2B5EF4-FFF2-40B4-BE49-F238E27FC236}">
              <a16:creationId xmlns:a16="http://schemas.microsoft.com/office/drawing/2014/main" id="{A727ACEE-8D7C-4F17-B974-B9F50A327374}"/>
            </a:ext>
          </a:extLst>
        </xdr:cNvPr>
        <xdr:cNvGrpSpPr>
          <a:grpSpLocks/>
        </xdr:cNvGrpSpPr>
      </xdr:nvGrpSpPr>
      <xdr:grpSpPr bwMode="auto">
        <a:xfrm>
          <a:off x="8851900" y="4318000"/>
          <a:ext cx="939800" cy="457200"/>
          <a:chOff x="986" y="117"/>
          <a:chExt cx="107" cy="50"/>
        </a:xfrm>
      </xdr:grpSpPr>
      <xdr:sp macro="" textlink="">
        <xdr:nvSpPr>
          <xdr:cNvPr id="67" name="Line 1206">
            <a:extLst>
              <a:ext uri="{FF2B5EF4-FFF2-40B4-BE49-F238E27FC236}">
                <a16:creationId xmlns:a16="http://schemas.microsoft.com/office/drawing/2014/main" id="{D427F61F-A12B-49E7-A29C-727E32E3259F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Text Box 1207">
            <a:extLst>
              <a:ext uri="{FF2B5EF4-FFF2-40B4-BE49-F238E27FC236}">
                <a16:creationId xmlns:a16="http://schemas.microsoft.com/office/drawing/2014/main" id="{BFF9F653-8811-455D-B10B-BFA110DB4C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27</xdr:row>
      <xdr:rowOff>142875</xdr:rowOff>
    </xdr:from>
    <xdr:to>
      <xdr:col>45</xdr:col>
      <xdr:colOff>171450</xdr:colOff>
      <xdr:row>30</xdr:row>
      <xdr:rowOff>95250</xdr:rowOff>
    </xdr:to>
    <xdr:grpSp>
      <xdr:nvGrpSpPr>
        <xdr:cNvPr id="69" name="Group 1208">
          <a:extLst>
            <a:ext uri="{FF2B5EF4-FFF2-40B4-BE49-F238E27FC236}">
              <a16:creationId xmlns:a16="http://schemas.microsoft.com/office/drawing/2014/main" id="{D24F806A-BA08-44C9-B825-623B0BB9CBA2}"/>
            </a:ext>
          </a:extLst>
        </xdr:cNvPr>
        <xdr:cNvGrpSpPr>
          <a:grpSpLocks/>
        </xdr:cNvGrpSpPr>
      </xdr:nvGrpSpPr>
      <xdr:grpSpPr bwMode="auto">
        <a:xfrm>
          <a:off x="9172575" y="4572000"/>
          <a:ext cx="762000" cy="476250"/>
          <a:chOff x="1148" y="209"/>
          <a:chExt cx="95" cy="52"/>
        </a:xfrm>
      </xdr:grpSpPr>
      <xdr:sp macro="" textlink="">
        <xdr:nvSpPr>
          <xdr:cNvPr id="70" name="Line 1209">
            <a:extLst>
              <a:ext uri="{FF2B5EF4-FFF2-40B4-BE49-F238E27FC236}">
                <a16:creationId xmlns:a16="http://schemas.microsoft.com/office/drawing/2014/main" id="{8E40DE5A-02AB-4480-A850-22AEE008DA25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Text Box 1210">
            <a:extLst>
              <a:ext uri="{FF2B5EF4-FFF2-40B4-BE49-F238E27FC236}">
                <a16:creationId xmlns:a16="http://schemas.microsoft.com/office/drawing/2014/main" id="{40FD5786-0057-47C6-9D89-A99480478A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26</xdr:row>
      <xdr:rowOff>47625</xdr:rowOff>
    </xdr:from>
    <xdr:to>
      <xdr:col>62</xdr:col>
      <xdr:colOff>28575</xdr:colOff>
      <xdr:row>28</xdr:row>
      <xdr:rowOff>171450</xdr:rowOff>
    </xdr:to>
    <xdr:grpSp>
      <xdr:nvGrpSpPr>
        <xdr:cNvPr id="72" name="Group 1211">
          <a:extLst>
            <a:ext uri="{FF2B5EF4-FFF2-40B4-BE49-F238E27FC236}">
              <a16:creationId xmlns:a16="http://schemas.microsoft.com/office/drawing/2014/main" id="{D0DD0789-DFC0-4057-9529-1D1B0BE6DE91}"/>
            </a:ext>
          </a:extLst>
        </xdr:cNvPr>
        <xdr:cNvGrpSpPr>
          <a:grpSpLocks/>
        </xdr:cNvGrpSpPr>
      </xdr:nvGrpSpPr>
      <xdr:grpSpPr bwMode="auto">
        <a:xfrm>
          <a:off x="12630150" y="4318000"/>
          <a:ext cx="939800" cy="457200"/>
          <a:chOff x="986" y="117"/>
          <a:chExt cx="107" cy="50"/>
        </a:xfrm>
      </xdr:grpSpPr>
      <xdr:sp macro="" textlink="">
        <xdr:nvSpPr>
          <xdr:cNvPr id="73" name="Line 1212">
            <a:extLst>
              <a:ext uri="{FF2B5EF4-FFF2-40B4-BE49-F238E27FC236}">
                <a16:creationId xmlns:a16="http://schemas.microsoft.com/office/drawing/2014/main" id="{A8CC3C7D-2438-42BB-AE4E-A18A1F0B0BB5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Text Box 1213">
            <a:extLst>
              <a:ext uri="{FF2B5EF4-FFF2-40B4-BE49-F238E27FC236}">
                <a16:creationId xmlns:a16="http://schemas.microsoft.com/office/drawing/2014/main" id="{70B4ADA8-D095-4084-B217-3F04F825E9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27</xdr:row>
      <xdr:rowOff>142875</xdr:rowOff>
    </xdr:from>
    <xdr:to>
      <xdr:col>62</xdr:col>
      <xdr:colOff>171450</xdr:colOff>
      <xdr:row>30</xdr:row>
      <xdr:rowOff>95250</xdr:rowOff>
    </xdr:to>
    <xdr:grpSp>
      <xdr:nvGrpSpPr>
        <xdr:cNvPr id="75" name="Group 1214">
          <a:extLst>
            <a:ext uri="{FF2B5EF4-FFF2-40B4-BE49-F238E27FC236}">
              <a16:creationId xmlns:a16="http://schemas.microsoft.com/office/drawing/2014/main" id="{9DA4BF5F-B5DA-4180-A249-3EB44470E3F7}"/>
            </a:ext>
          </a:extLst>
        </xdr:cNvPr>
        <xdr:cNvGrpSpPr>
          <a:grpSpLocks/>
        </xdr:cNvGrpSpPr>
      </xdr:nvGrpSpPr>
      <xdr:grpSpPr bwMode="auto">
        <a:xfrm>
          <a:off x="12950825" y="4572000"/>
          <a:ext cx="762000" cy="476250"/>
          <a:chOff x="1148" y="209"/>
          <a:chExt cx="95" cy="52"/>
        </a:xfrm>
      </xdr:grpSpPr>
      <xdr:sp macro="" textlink="">
        <xdr:nvSpPr>
          <xdr:cNvPr id="76" name="Line 1215">
            <a:extLst>
              <a:ext uri="{FF2B5EF4-FFF2-40B4-BE49-F238E27FC236}">
                <a16:creationId xmlns:a16="http://schemas.microsoft.com/office/drawing/2014/main" id="{642A46E4-45B3-4512-B469-68BD70BF58D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Text Box 1216">
            <a:extLst>
              <a:ext uri="{FF2B5EF4-FFF2-40B4-BE49-F238E27FC236}">
                <a16:creationId xmlns:a16="http://schemas.microsoft.com/office/drawing/2014/main" id="{9B5D6436-D005-4B00-9AA3-9BB218E655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44</xdr:row>
      <xdr:rowOff>47625</xdr:rowOff>
    </xdr:from>
    <xdr:to>
      <xdr:col>45</xdr:col>
      <xdr:colOff>28575</xdr:colOff>
      <xdr:row>46</xdr:row>
      <xdr:rowOff>171450</xdr:rowOff>
    </xdr:to>
    <xdr:grpSp>
      <xdr:nvGrpSpPr>
        <xdr:cNvPr id="78" name="Group 1217">
          <a:extLst>
            <a:ext uri="{FF2B5EF4-FFF2-40B4-BE49-F238E27FC236}">
              <a16:creationId xmlns:a16="http://schemas.microsoft.com/office/drawing/2014/main" id="{3F0F473B-213C-4006-8D61-E986BB616BBE}"/>
            </a:ext>
          </a:extLst>
        </xdr:cNvPr>
        <xdr:cNvGrpSpPr>
          <a:grpSpLocks/>
        </xdr:cNvGrpSpPr>
      </xdr:nvGrpSpPr>
      <xdr:grpSpPr bwMode="auto">
        <a:xfrm>
          <a:off x="8851900" y="7318375"/>
          <a:ext cx="939800" cy="457200"/>
          <a:chOff x="986" y="117"/>
          <a:chExt cx="107" cy="50"/>
        </a:xfrm>
      </xdr:grpSpPr>
      <xdr:sp macro="" textlink="">
        <xdr:nvSpPr>
          <xdr:cNvPr id="79" name="Line 1218">
            <a:extLst>
              <a:ext uri="{FF2B5EF4-FFF2-40B4-BE49-F238E27FC236}">
                <a16:creationId xmlns:a16="http://schemas.microsoft.com/office/drawing/2014/main" id="{6E2612AF-1C5E-426A-AECD-2F49C7E855BA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Text Box 1219">
            <a:extLst>
              <a:ext uri="{FF2B5EF4-FFF2-40B4-BE49-F238E27FC236}">
                <a16:creationId xmlns:a16="http://schemas.microsoft.com/office/drawing/2014/main" id="{B18C67CC-037E-48D6-80CB-2A5C67B1B83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45</xdr:row>
      <xdr:rowOff>142875</xdr:rowOff>
    </xdr:from>
    <xdr:to>
      <xdr:col>45</xdr:col>
      <xdr:colOff>171450</xdr:colOff>
      <xdr:row>48</xdr:row>
      <xdr:rowOff>95250</xdr:rowOff>
    </xdr:to>
    <xdr:grpSp>
      <xdr:nvGrpSpPr>
        <xdr:cNvPr id="81" name="Group 1220">
          <a:extLst>
            <a:ext uri="{FF2B5EF4-FFF2-40B4-BE49-F238E27FC236}">
              <a16:creationId xmlns:a16="http://schemas.microsoft.com/office/drawing/2014/main" id="{6CB0F334-149E-49A0-9BBF-C9D221C052E2}"/>
            </a:ext>
          </a:extLst>
        </xdr:cNvPr>
        <xdr:cNvGrpSpPr>
          <a:grpSpLocks/>
        </xdr:cNvGrpSpPr>
      </xdr:nvGrpSpPr>
      <xdr:grpSpPr bwMode="auto">
        <a:xfrm>
          <a:off x="9172575" y="7572375"/>
          <a:ext cx="762000" cy="476250"/>
          <a:chOff x="1148" y="209"/>
          <a:chExt cx="95" cy="52"/>
        </a:xfrm>
      </xdr:grpSpPr>
      <xdr:sp macro="" textlink="">
        <xdr:nvSpPr>
          <xdr:cNvPr id="82" name="Line 1221">
            <a:extLst>
              <a:ext uri="{FF2B5EF4-FFF2-40B4-BE49-F238E27FC236}">
                <a16:creationId xmlns:a16="http://schemas.microsoft.com/office/drawing/2014/main" id="{C251D1ED-BD19-476C-A4FF-851572D47ADA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Text Box 1222">
            <a:extLst>
              <a:ext uri="{FF2B5EF4-FFF2-40B4-BE49-F238E27FC236}">
                <a16:creationId xmlns:a16="http://schemas.microsoft.com/office/drawing/2014/main" id="{46C71C43-0B4B-4796-86DC-F7F50E8AB3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44</xdr:row>
      <xdr:rowOff>47625</xdr:rowOff>
    </xdr:from>
    <xdr:to>
      <xdr:col>62</xdr:col>
      <xdr:colOff>28575</xdr:colOff>
      <xdr:row>46</xdr:row>
      <xdr:rowOff>171450</xdr:rowOff>
    </xdr:to>
    <xdr:grpSp>
      <xdr:nvGrpSpPr>
        <xdr:cNvPr id="84" name="Group 1223">
          <a:extLst>
            <a:ext uri="{FF2B5EF4-FFF2-40B4-BE49-F238E27FC236}">
              <a16:creationId xmlns:a16="http://schemas.microsoft.com/office/drawing/2014/main" id="{B344A6A0-5D5B-4A3B-8D90-3A839096FDE7}"/>
            </a:ext>
          </a:extLst>
        </xdr:cNvPr>
        <xdr:cNvGrpSpPr>
          <a:grpSpLocks/>
        </xdr:cNvGrpSpPr>
      </xdr:nvGrpSpPr>
      <xdr:grpSpPr bwMode="auto">
        <a:xfrm>
          <a:off x="12630150" y="7318375"/>
          <a:ext cx="939800" cy="457200"/>
          <a:chOff x="986" y="117"/>
          <a:chExt cx="107" cy="50"/>
        </a:xfrm>
      </xdr:grpSpPr>
      <xdr:sp macro="" textlink="">
        <xdr:nvSpPr>
          <xdr:cNvPr id="85" name="Line 1224">
            <a:extLst>
              <a:ext uri="{FF2B5EF4-FFF2-40B4-BE49-F238E27FC236}">
                <a16:creationId xmlns:a16="http://schemas.microsoft.com/office/drawing/2014/main" id="{FBDC050E-1EDB-428D-A075-74383DDC1DB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Box 1225">
            <a:extLst>
              <a:ext uri="{FF2B5EF4-FFF2-40B4-BE49-F238E27FC236}">
                <a16:creationId xmlns:a16="http://schemas.microsoft.com/office/drawing/2014/main" id="{80126419-78CC-4422-9FD8-A7DE1BB409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45</xdr:row>
      <xdr:rowOff>142875</xdr:rowOff>
    </xdr:from>
    <xdr:to>
      <xdr:col>62</xdr:col>
      <xdr:colOff>171450</xdr:colOff>
      <xdr:row>48</xdr:row>
      <xdr:rowOff>95250</xdr:rowOff>
    </xdr:to>
    <xdr:grpSp>
      <xdr:nvGrpSpPr>
        <xdr:cNvPr id="87" name="Group 1226">
          <a:extLst>
            <a:ext uri="{FF2B5EF4-FFF2-40B4-BE49-F238E27FC236}">
              <a16:creationId xmlns:a16="http://schemas.microsoft.com/office/drawing/2014/main" id="{2EEC26B3-7B39-493C-B7E8-E769818A684D}"/>
            </a:ext>
          </a:extLst>
        </xdr:cNvPr>
        <xdr:cNvGrpSpPr>
          <a:grpSpLocks/>
        </xdr:cNvGrpSpPr>
      </xdr:nvGrpSpPr>
      <xdr:grpSpPr bwMode="auto">
        <a:xfrm>
          <a:off x="12950825" y="7572375"/>
          <a:ext cx="762000" cy="476250"/>
          <a:chOff x="1148" y="209"/>
          <a:chExt cx="95" cy="52"/>
        </a:xfrm>
      </xdr:grpSpPr>
      <xdr:sp macro="" textlink="">
        <xdr:nvSpPr>
          <xdr:cNvPr id="88" name="Line 1227">
            <a:extLst>
              <a:ext uri="{FF2B5EF4-FFF2-40B4-BE49-F238E27FC236}">
                <a16:creationId xmlns:a16="http://schemas.microsoft.com/office/drawing/2014/main" id="{FF19494A-C4A4-44BA-BFED-E3C8AADFA52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Text Box 1228">
            <a:extLst>
              <a:ext uri="{FF2B5EF4-FFF2-40B4-BE49-F238E27FC236}">
                <a16:creationId xmlns:a16="http://schemas.microsoft.com/office/drawing/2014/main" id="{2A82EB91-0544-494F-AA03-0DFF24A06C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70</xdr:row>
      <xdr:rowOff>28575</xdr:rowOff>
    </xdr:from>
    <xdr:to>
      <xdr:col>45</xdr:col>
      <xdr:colOff>28575</xdr:colOff>
      <xdr:row>72</xdr:row>
      <xdr:rowOff>152400</xdr:rowOff>
    </xdr:to>
    <xdr:grpSp>
      <xdr:nvGrpSpPr>
        <xdr:cNvPr id="90" name="Group 1229">
          <a:extLst>
            <a:ext uri="{FF2B5EF4-FFF2-40B4-BE49-F238E27FC236}">
              <a16:creationId xmlns:a16="http://schemas.microsoft.com/office/drawing/2014/main" id="{05E3FE07-D0C8-49F6-B99E-8154C6AEDF03}"/>
            </a:ext>
          </a:extLst>
        </xdr:cNvPr>
        <xdr:cNvGrpSpPr>
          <a:grpSpLocks/>
        </xdr:cNvGrpSpPr>
      </xdr:nvGrpSpPr>
      <xdr:grpSpPr bwMode="auto">
        <a:xfrm>
          <a:off x="8851900" y="11522075"/>
          <a:ext cx="939800" cy="520700"/>
          <a:chOff x="986" y="117"/>
          <a:chExt cx="107" cy="50"/>
        </a:xfrm>
      </xdr:grpSpPr>
      <xdr:sp macro="" textlink="">
        <xdr:nvSpPr>
          <xdr:cNvPr id="91" name="Line 1230">
            <a:extLst>
              <a:ext uri="{FF2B5EF4-FFF2-40B4-BE49-F238E27FC236}">
                <a16:creationId xmlns:a16="http://schemas.microsoft.com/office/drawing/2014/main" id="{4D3EF6E4-54AB-4EA4-9AB0-E5F2BA13FF8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1231">
            <a:extLst>
              <a:ext uri="{FF2B5EF4-FFF2-40B4-BE49-F238E27FC236}">
                <a16:creationId xmlns:a16="http://schemas.microsoft.com/office/drawing/2014/main" id="{482948B0-E927-4853-82CD-01539CEB87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71</xdr:row>
      <xdr:rowOff>142875</xdr:rowOff>
    </xdr:from>
    <xdr:to>
      <xdr:col>45</xdr:col>
      <xdr:colOff>171450</xdr:colOff>
      <xdr:row>74</xdr:row>
      <xdr:rowOff>95250</xdr:rowOff>
    </xdr:to>
    <xdr:grpSp>
      <xdr:nvGrpSpPr>
        <xdr:cNvPr id="93" name="Group 1232">
          <a:extLst>
            <a:ext uri="{FF2B5EF4-FFF2-40B4-BE49-F238E27FC236}">
              <a16:creationId xmlns:a16="http://schemas.microsoft.com/office/drawing/2014/main" id="{C24489F6-1F84-4EDD-8017-827A2786E82C}"/>
            </a:ext>
          </a:extLst>
        </xdr:cNvPr>
        <xdr:cNvGrpSpPr>
          <a:grpSpLocks/>
        </xdr:cNvGrpSpPr>
      </xdr:nvGrpSpPr>
      <xdr:grpSpPr bwMode="auto">
        <a:xfrm>
          <a:off x="9172575" y="11858625"/>
          <a:ext cx="762000" cy="476250"/>
          <a:chOff x="1148" y="209"/>
          <a:chExt cx="95" cy="52"/>
        </a:xfrm>
      </xdr:grpSpPr>
      <xdr:sp macro="" textlink="">
        <xdr:nvSpPr>
          <xdr:cNvPr id="94" name="Line 1233">
            <a:extLst>
              <a:ext uri="{FF2B5EF4-FFF2-40B4-BE49-F238E27FC236}">
                <a16:creationId xmlns:a16="http://schemas.microsoft.com/office/drawing/2014/main" id="{C9C8D023-58B1-4DD3-849A-4008997A5AA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Text Box 1234">
            <a:extLst>
              <a:ext uri="{FF2B5EF4-FFF2-40B4-BE49-F238E27FC236}">
                <a16:creationId xmlns:a16="http://schemas.microsoft.com/office/drawing/2014/main" id="{19D852E7-F254-46A4-AB08-016A0989651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70</xdr:row>
      <xdr:rowOff>28575</xdr:rowOff>
    </xdr:from>
    <xdr:to>
      <xdr:col>62</xdr:col>
      <xdr:colOff>28575</xdr:colOff>
      <xdr:row>72</xdr:row>
      <xdr:rowOff>152400</xdr:rowOff>
    </xdr:to>
    <xdr:grpSp>
      <xdr:nvGrpSpPr>
        <xdr:cNvPr id="96" name="Group 1235">
          <a:extLst>
            <a:ext uri="{FF2B5EF4-FFF2-40B4-BE49-F238E27FC236}">
              <a16:creationId xmlns:a16="http://schemas.microsoft.com/office/drawing/2014/main" id="{8B55E2DA-6952-4895-943E-37FA177898D8}"/>
            </a:ext>
          </a:extLst>
        </xdr:cNvPr>
        <xdr:cNvGrpSpPr>
          <a:grpSpLocks/>
        </xdr:cNvGrpSpPr>
      </xdr:nvGrpSpPr>
      <xdr:grpSpPr bwMode="auto">
        <a:xfrm>
          <a:off x="12630150" y="11522075"/>
          <a:ext cx="939800" cy="520700"/>
          <a:chOff x="986" y="117"/>
          <a:chExt cx="107" cy="50"/>
        </a:xfrm>
      </xdr:grpSpPr>
      <xdr:sp macro="" textlink="">
        <xdr:nvSpPr>
          <xdr:cNvPr id="97" name="Line 1236">
            <a:extLst>
              <a:ext uri="{FF2B5EF4-FFF2-40B4-BE49-F238E27FC236}">
                <a16:creationId xmlns:a16="http://schemas.microsoft.com/office/drawing/2014/main" id="{350528DD-D864-400A-98A8-519DBD2A4699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Text Box 1237">
            <a:extLst>
              <a:ext uri="{FF2B5EF4-FFF2-40B4-BE49-F238E27FC236}">
                <a16:creationId xmlns:a16="http://schemas.microsoft.com/office/drawing/2014/main" id="{24A92F2F-AF6D-4B47-B7E4-8E7300E731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71</xdr:row>
      <xdr:rowOff>142875</xdr:rowOff>
    </xdr:from>
    <xdr:to>
      <xdr:col>62</xdr:col>
      <xdr:colOff>171450</xdr:colOff>
      <xdr:row>74</xdr:row>
      <xdr:rowOff>95250</xdr:rowOff>
    </xdr:to>
    <xdr:grpSp>
      <xdr:nvGrpSpPr>
        <xdr:cNvPr id="99" name="Group 1238">
          <a:extLst>
            <a:ext uri="{FF2B5EF4-FFF2-40B4-BE49-F238E27FC236}">
              <a16:creationId xmlns:a16="http://schemas.microsoft.com/office/drawing/2014/main" id="{D146F911-0773-4A34-A507-5E6962EEF586}"/>
            </a:ext>
          </a:extLst>
        </xdr:cNvPr>
        <xdr:cNvGrpSpPr>
          <a:grpSpLocks/>
        </xdr:cNvGrpSpPr>
      </xdr:nvGrpSpPr>
      <xdr:grpSpPr bwMode="auto">
        <a:xfrm>
          <a:off x="12950825" y="11858625"/>
          <a:ext cx="762000" cy="476250"/>
          <a:chOff x="1148" y="209"/>
          <a:chExt cx="95" cy="52"/>
        </a:xfrm>
      </xdr:grpSpPr>
      <xdr:sp macro="" textlink="">
        <xdr:nvSpPr>
          <xdr:cNvPr id="100" name="Line 1239">
            <a:extLst>
              <a:ext uri="{FF2B5EF4-FFF2-40B4-BE49-F238E27FC236}">
                <a16:creationId xmlns:a16="http://schemas.microsoft.com/office/drawing/2014/main" id="{83026F11-38E9-476E-9DDD-8307C2CD990F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Text Box 1240">
            <a:extLst>
              <a:ext uri="{FF2B5EF4-FFF2-40B4-BE49-F238E27FC236}">
                <a16:creationId xmlns:a16="http://schemas.microsoft.com/office/drawing/2014/main" id="{67ACD999-441B-43F2-B418-6DA2829E73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88</xdr:row>
      <xdr:rowOff>28575</xdr:rowOff>
    </xdr:from>
    <xdr:to>
      <xdr:col>45</xdr:col>
      <xdr:colOff>28575</xdr:colOff>
      <xdr:row>90</xdr:row>
      <xdr:rowOff>152400</xdr:rowOff>
    </xdr:to>
    <xdr:grpSp>
      <xdr:nvGrpSpPr>
        <xdr:cNvPr id="102" name="Group 1241">
          <a:extLst>
            <a:ext uri="{FF2B5EF4-FFF2-40B4-BE49-F238E27FC236}">
              <a16:creationId xmlns:a16="http://schemas.microsoft.com/office/drawing/2014/main" id="{5AE34D10-7D8D-47C4-88D0-2ACF2EFF7793}"/>
            </a:ext>
          </a:extLst>
        </xdr:cNvPr>
        <xdr:cNvGrpSpPr>
          <a:grpSpLocks/>
        </xdr:cNvGrpSpPr>
      </xdr:nvGrpSpPr>
      <xdr:grpSpPr bwMode="auto">
        <a:xfrm>
          <a:off x="8851900" y="14585950"/>
          <a:ext cx="939800" cy="457200"/>
          <a:chOff x="986" y="117"/>
          <a:chExt cx="107" cy="50"/>
        </a:xfrm>
      </xdr:grpSpPr>
      <xdr:sp macro="" textlink="">
        <xdr:nvSpPr>
          <xdr:cNvPr id="103" name="Line 1242">
            <a:extLst>
              <a:ext uri="{FF2B5EF4-FFF2-40B4-BE49-F238E27FC236}">
                <a16:creationId xmlns:a16="http://schemas.microsoft.com/office/drawing/2014/main" id="{D30F7293-0B37-42A8-879E-4D94B4551181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Text Box 1243">
            <a:extLst>
              <a:ext uri="{FF2B5EF4-FFF2-40B4-BE49-F238E27FC236}">
                <a16:creationId xmlns:a16="http://schemas.microsoft.com/office/drawing/2014/main" id="{77B35709-6BF4-4F89-96E8-6B066CC526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89</xdr:row>
      <xdr:rowOff>142875</xdr:rowOff>
    </xdr:from>
    <xdr:to>
      <xdr:col>45</xdr:col>
      <xdr:colOff>171450</xdr:colOff>
      <xdr:row>92</xdr:row>
      <xdr:rowOff>95250</xdr:rowOff>
    </xdr:to>
    <xdr:grpSp>
      <xdr:nvGrpSpPr>
        <xdr:cNvPr id="105" name="Group 1244">
          <a:extLst>
            <a:ext uri="{FF2B5EF4-FFF2-40B4-BE49-F238E27FC236}">
              <a16:creationId xmlns:a16="http://schemas.microsoft.com/office/drawing/2014/main" id="{94F079DA-28A3-4227-B366-08F6689605EC}"/>
            </a:ext>
          </a:extLst>
        </xdr:cNvPr>
        <xdr:cNvGrpSpPr>
          <a:grpSpLocks/>
        </xdr:cNvGrpSpPr>
      </xdr:nvGrpSpPr>
      <xdr:grpSpPr bwMode="auto">
        <a:xfrm>
          <a:off x="9172575" y="14859000"/>
          <a:ext cx="762000" cy="476250"/>
          <a:chOff x="1148" y="209"/>
          <a:chExt cx="95" cy="52"/>
        </a:xfrm>
      </xdr:grpSpPr>
      <xdr:sp macro="" textlink="">
        <xdr:nvSpPr>
          <xdr:cNvPr id="106" name="Line 1245">
            <a:extLst>
              <a:ext uri="{FF2B5EF4-FFF2-40B4-BE49-F238E27FC236}">
                <a16:creationId xmlns:a16="http://schemas.microsoft.com/office/drawing/2014/main" id="{24559146-BD32-4DE7-8EF0-DFCA943E84FF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Text Box 1246">
            <a:extLst>
              <a:ext uri="{FF2B5EF4-FFF2-40B4-BE49-F238E27FC236}">
                <a16:creationId xmlns:a16="http://schemas.microsoft.com/office/drawing/2014/main" id="{64FBD285-51EF-453C-B368-73367BD6F27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88</xdr:row>
      <xdr:rowOff>28575</xdr:rowOff>
    </xdr:from>
    <xdr:to>
      <xdr:col>62</xdr:col>
      <xdr:colOff>28575</xdr:colOff>
      <xdr:row>90</xdr:row>
      <xdr:rowOff>152400</xdr:rowOff>
    </xdr:to>
    <xdr:grpSp>
      <xdr:nvGrpSpPr>
        <xdr:cNvPr id="108" name="Group 1247">
          <a:extLst>
            <a:ext uri="{FF2B5EF4-FFF2-40B4-BE49-F238E27FC236}">
              <a16:creationId xmlns:a16="http://schemas.microsoft.com/office/drawing/2014/main" id="{457CC88A-382C-45C6-A873-AA15098D3EFB}"/>
            </a:ext>
          </a:extLst>
        </xdr:cNvPr>
        <xdr:cNvGrpSpPr>
          <a:grpSpLocks/>
        </xdr:cNvGrpSpPr>
      </xdr:nvGrpSpPr>
      <xdr:grpSpPr bwMode="auto">
        <a:xfrm>
          <a:off x="12630150" y="14585950"/>
          <a:ext cx="939800" cy="457200"/>
          <a:chOff x="986" y="117"/>
          <a:chExt cx="107" cy="50"/>
        </a:xfrm>
      </xdr:grpSpPr>
      <xdr:sp macro="" textlink="">
        <xdr:nvSpPr>
          <xdr:cNvPr id="109" name="Line 1248">
            <a:extLst>
              <a:ext uri="{FF2B5EF4-FFF2-40B4-BE49-F238E27FC236}">
                <a16:creationId xmlns:a16="http://schemas.microsoft.com/office/drawing/2014/main" id="{E083E761-11C4-4D75-A9E2-8671574C64E4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Text Box 1249">
            <a:extLst>
              <a:ext uri="{FF2B5EF4-FFF2-40B4-BE49-F238E27FC236}">
                <a16:creationId xmlns:a16="http://schemas.microsoft.com/office/drawing/2014/main" id="{9B1057DE-9ACC-466E-8015-A606BBD9D6E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89</xdr:row>
      <xdr:rowOff>142875</xdr:rowOff>
    </xdr:from>
    <xdr:to>
      <xdr:col>62</xdr:col>
      <xdr:colOff>171450</xdr:colOff>
      <xdr:row>92</xdr:row>
      <xdr:rowOff>95250</xdr:rowOff>
    </xdr:to>
    <xdr:grpSp>
      <xdr:nvGrpSpPr>
        <xdr:cNvPr id="111" name="Group 1250">
          <a:extLst>
            <a:ext uri="{FF2B5EF4-FFF2-40B4-BE49-F238E27FC236}">
              <a16:creationId xmlns:a16="http://schemas.microsoft.com/office/drawing/2014/main" id="{C7849B81-2F8B-41FF-9C21-F9213C2E1DE9}"/>
            </a:ext>
          </a:extLst>
        </xdr:cNvPr>
        <xdr:cNvGrpSpPr>
          <a:grpSpLocks/>
        </xdr:cNvGrpSpPr>
      </xdr:nvGrpSpPr>
      <xdr:grpSpPr bwMode="auto">
        <a:xfrm>
          <a:off x="12950825" y="14859000"/>
          <a:ext cx="762000" cy="476250"/>
          <a:chOff x="1148" y="209"/>
          <a:chExt cx="95" cy="52"/>
        </a:xfrm>
      </xdr:grpSpPr>
      <xdr:sp macro="" textlink="">
        <xdr:nvSpPr>
          <xdr:cNvPr id="112" name="Line 1251">
            <a:extLst>
              <a:ext uri="{FF2B5EF4-FFF2-40B4-BE49-F238E27FC236}">
                <a16:creationId xmlns:a16="http://schemas.microsoft.com/office/drawing/2014/main" id="{96809A96-F3C4-45B1-90E5-F5EA94720C21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Text Box 1252">
            <a:extLst>
              <a:ext uri="{FF2B5EF4-FFF2-40B4-BE49-F238E27FC236}">
                <a16:creationId xmlns:a16="http://schemas.microsoft.com/office/drawing/2014/main" id="{D824DDD3-B1EB-4DB4-B116-7B105778D8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106</xdr:row>
      <xdr:rowOff>28575</xdr:rowOff>
    </xdr:from>
    <xdr:to>
      <xdr:col>45</xdr:col>
      <xdr:colOff>28575</xdr:colOff>
      <xdr:row>108</xdr:row>
      <xdr:rowOff>152400</xdr:rowOff>
    </xdr:to>
    <xdr:grpSp>
      <xdr:nvGrpSpPr>
        <xdr:cNvPr id="114" name="Group 1253">
          <a:extLst>
            <a:ext uri="{FF2B5EF4-FFF2-40B4-BE49-F238E27FC236}">
              <a16:creationId xmlns:a16="http://schemas.microsoft.com/office/drawing/2014/main" id="{DB2D988C-96A4-47EF-A0C9-EBB7EE6DDA4F}"/>
            </a:ext>
          </a:extLst>
        </xdr:cNvPr>
        <xdr:cNvGrpSpPr>
          <a:grpSpLocks/>
        </xdr:cNvGrpSpPr>
      </xdr:nvGrpSpPr>
      <xdr:grpSpPr bwMode="auto">
        <a:xfrm>
          <a:off x="8851900" y="17586325"/>
          <a:ext cx="939800" cy="457200"/>
          <a:chOff x="986" y="117"/>
          <a:chExt cx="107" cy="50"/>
        </a:xfrm>
      </xdr:grpSpPr>
      <xdr:sp macro="" textlink="">
        <xdr:nvSpPr>
          <xdr:cNvPr id="115" name="Line 1254">
            <a:extLst>
              <a:ext uri="{FF2B5EF4-FFF2-40B4-BE49-F238E27FC236}">
                <a16:creationId xmlns:a16="http://schemas.microsoft.com/office/drawing/2014/main" id="{8BA8D21F-910E-49B6-9AB8-0CAF7CDFF6C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Text Box 1255">
            <a:extLst>
              <a:ext uri="{FF2B5EF4-FFF2-40B4-BE49-F238E27FC236}">
                <a16:creationId xmlns:a16="http://schemas.microsoft.com/office/drawing/2014/main" id="{DEC9DC3A-9E14-483C-A7CD-DF9FB796B0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107</xdr:row>
      <xdr:rowOff>142875</xdr:rowOff>
    </xdr:from>
    <xdr:to>
      <xdr:col>45</xdr:col>
      <xdr:colOff>171450</xdr:colOff>
      <xdr:row>110</xdr:row>
      <xdr:rowOff>95250</xdr:rowOff>
    </xdr:to>
    <xdr:grpSp>
      <xdr:nvGrpSpPr>
        <xdr:cNvPr id="117" name="Group 1256">
          <a:extLst>
            <a:ext uri="{FF2B5EF4-FFF2-40B4-BE49-F238E27FC236}">
              <a16:creationId xmlns:a16="http://schemas.microsoft.com/office/drawing/2014/main" id="{A31E6486-5D12-4A28-9D4C-80B4002B97B0}"/>
            </a:ext>
          </a:extLst>
        </xdr:cNvPr>
        <xdr:cNvGrpSpPr>
          <a:grpSpLocks/>
        </xdr:cNvGrpSpPr>
      </xdr:nvGrpSpPr>
      <xdr:grpSpPr bwMode="auto">
        <a:xfrm>
          <a:off x="9172575" y="17859375"/>
          <a:ext cx="762000" cy="476250"/>
          <a:chOff x="1148" y="209"/>
          <a:chExt cx="95" cy="52"/>
        </a:xfrm>
      </xdr:grpSpPr>
      <xdr:sp macro="" textlink="">
        <xdr:nvSpPr>
          <xdr:cNvPr id="118" name="Line 1257">
            <a:extLst>
              <a:ext uri="{FF2B5EF4-FFF2-40B4-BE49-F238E27FC236}">
                <a16:creationId xmlns:a16="http://schemas.microsoft.com/office/drawing/2014/main" id="{C0263546-A24B-4E5D-9B9A-86A030078C11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" name="Text Box 1258">
            <a:extLst>
              <a:ext uri="{FF2B5EF4-FFF2-40B4-BE49-F238E27FC236}">
                <a16:creationId xmlns:a16="http://schemas.microsoft.com/office/drawing/2014/main" id="{52DF235B-F07D-4B37-8093-8A7654FC1B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106</xdr:row>
      <xdr:rowOff>28575</xdr:rowOff>
    </xdr:from>
    <xdr:to>
      <xdr:col>62</xdr:col>
      <xdr:colOff>28575</xdr:colOff>
      <xdr:row>108</xdr:row>
      <xdr:rowOff>152400</xdr:rowOff>
    </xdr:to>
    <xdr:grpSp>
      <xdr:nvGrpSpPr>
        <xdr:cNvPr id="120" name="Group 1259">
          <a:extLst>
            <a:ext uri="{FF2B5EF4-FFF2-40B4-BE49-F238E27FC236}">
              <a16:creationId xmlns:a16="http://schemas.microsoft.com/office/drawing/2014/main" id="{736F93A5-2086-4E2F-B397-F8144F88CB1E}"/>
            </a:ext>
          </a:extLst>
        </xdr:cNvPr>
        <xdr:cNvGrpSpPr>
          <a:grpSpLocks/>
        </xdr:cNvGrpSpPr>
      </xdr:nvGrpSpPr>
      <xdr:grpSpPr bwMode="auto">
        <a:xfrm>
          <a:off x="12630150" y="17586325"/>
          <a:ext cx="939800" cy="457200"/>
          <a:chOff x="986" y="117"/>
          <a:chExt cx="107" cy="50"/>
        </a:xfrm>
      </xdr:grpSpPr>
      <xdr:sp macro="" textlink="">
        <xdr:nvSpPr>
          <xdr:cNvPr id="121" name="Line 1260">
            <a:extLst>
              <a:ext uri="{FF2B5EF4-FFF2-40B4-BE49-F238E27FC236}">
                <a16:creationId xmlns:a16="http://schemas.microsoft.com/office/drawing/2014/main" id="{84564838-7ADE-4FAD-A61B-6586031101B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Text Box 1261">
            <a:extLst>
              <a:ext uri="{FF2B5EF4-FFF2-40B4-BE49-F238E27FC236}">
                <a16:creationId xmlns:a16="http://schemas.microsoft.com/office/drawing/2014/main" id="{424B45E7-7020-4C1F-BE16-7D52F5ED4E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107</xdr:row>
      <xdr:rowOff>142875</xdr:rowOff>
    </xdr:from>
    <xdr:to>
      <xdr:col>62</xdr:col>
      <xdr:colOff>171450</xdr:colOff>
      <xdr:row>110</xdr:row>
      <xdr:rowOff>95250</xdr:rowOff>
    </xdr:to>
    <xdr:grpSp>
      <xdr:nvGrpSpPr>
        <xdr:cNvPr id="123" name="Group 1262">
          <a:extLst>
            <a:ext uri="{FF2B5EF4-FFF2-40B4-BE49-F238E27FC236}">
              <a16:creationId xmlns:a16="http://schemas.microsoft.com/office/drawing/2014/main" id="{982C0C84-F124-4344-81E7-D71D796711C2}"/>
            </a:ext>
          </a:extLst>
        </xdr:cNvPr>
        <xdr:cNvGrpSpPr>
          <a:grpSpLocks/>
        </xdr:cNvGrpSpPr>
      </xdr:nvGrpSpPr>
      <xdr:grpSpPr bwMode="auto">
        <a:xfrm>
          <a:off x="12950825" y="17859375"/>
          <a:ext cx="762000" cy="476250"/>
          <a:chOff x="1148" y="209"/>
          <a:chExt cx="95" cy="52"/>
        </a:xfrm>
      </xdr:grpSpPr>
      <xdr:sp macro="" textlink="">
        <xdr:nvSpPr>
          <xdr:cNvPr id="124" name="Line 1263">
            <a:extLst>
              <a:ext uri="{FF2B5EF4-FFF2-40B4-BE49-F238E27FC236}">
                <a16:creationId xmlns:a16="http://schemas.microsoft.com/office/drawing/2014/main" id="{5F109A6B-11FA-47D6-90C2-D6E104D92C09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64">
            <a:extLst>
              <a:ext uri="{FF2B5EF4-FFF2-40B4-BE49-F238E27FC236}">
                <a16:creationId xmlns:a16="http://schemas.microsoft.com/office/drawing/2014/main" id="{2A6FD238-3CF8-4315-B495-40A57E977E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132</xdr:row>
      <xdr:rowOff>28575</xdr:rowOff>
    </xdr:from>
    <xdr:to>
      <xdr:col>45</xdr:col>
      <xdr:colOff>28575</xdr:colOff>
      <xdr:row>134</xdr:row>
      <xdr:rowOff>152400</xdr:rowOff>
    </xdr:to>
    <xdr:grpSp>
      <xdr:nvGrpSpPr>
        <xdr:cNvPr id="126" name="Group 1265">
          <a:extLst>
            <a:ext uri="{FF2B5EF4-FFF2-40B4-BE49-F238E27FC236}">
              <a16:creationId xmlns:a16="http://schemas.microsoft.com/office/drawing/2014/main" id="{045CF7A3-CC41-42F5-988A-59F5EDD2F1D5}"/>
            </a:ext>
          </a:extLst>
        </xdr:cNvPr>
        <xdr:cNvGrpSpPr>
          <a:grpSpLocks/>
        </xdr:cNvGrpSpPr>
      </xdr:nvGrpSpPr>
      <xdr:grpSpPr bwMode="auto">
        <a:xfrm>
          <a:off x="8851900" y="21809075"/>
          <a:ext cx="939800" cy="520700"/>
          <a:chOff x="986" y="117"/>
          <a:chExt cx="107" cy="50"/>
        </a:xfrm>
      </xdr:grpSpPr>
      <xdr:sp macro="" textlink="">
        <xdr:nvSpPr>
          <xdr:cNvPr id="127" name="Line 1266">
            <a:extLst>
              <a:ext uri="{FF2B5EF4-FFF2-40B4-BE49-F238E27FC236}">
                <a16:creationId xmlns:a16="http://schemas.microsoft.com/office/drawing/2014/main" id="{50C18BDE-5DAA-4DA0-B8A0-25E5E27CE2B5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Text Box 1267">
            <a:extLst>
              <a:ext uri="{FF2B5EF4-FFF2-40B4-BE49-F238E27FC236}">
                <a16:creationId xmlns:a16="http://schemas.microsoft.com/office/drawing/2014/main" id="{7FE8881F-B98F-4616-BEBC-35EAF082FB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133</xdr:row>
      <xdr:rowOff>142875</xdr:rowOff>
    </xdr:from>
    <xdr:to>
      <xdr:col>45</xdr:col>
      <xdr:colOff>171450</xdr:colOff>
      <xdr:row>136</xdr:row>
      <xdr:rowOff>95250</xdr:rowOff>
    </xdr:to>
    <xdr:grpSp>
      <xdr:nvGrpSpPr>
        <xdr:cNvPr id="129" name="Group 1268">
          <a:extLst>
            <a:ext uri="{FF2B5EF4-FFF2-40B4-BE49-F238E27FC236}">
              <a16:creationId xmlns:a16="http://schemas.microsoft.com/office/drawing/2014/main" id="{C3E95DD4-C05B-40B3-A876-B75D483313F9}"/>
            </a:ext>
          </a:extLst>
        </xdr:cNvPr>
        <xdr:cNvGrpSpPr>
          <a:grpSpLocks/>
        </xdr:cNvGrpSpPr>
      </xdr:nvGrpSpPr>
      <xdr:grpSpPr bwMode="auto">
        <a:xfrm>
          <a:off x="9172575" y="22145625"/>
          <a:ext cx="762000" cy="476250"/>
          <a:chOff x="1148" y="209"/>
          <a:chExt cx="95" cy="52"/>
        </a:xfrm>
      </xdr:grpSpPr>
      <xdr:sp macro="" textlink="">
        <xdr:nvSpPr>
          <xdr:cNvPr id="130" name="Line 1269">
            <a:extLst>
              <a:ext uri="{FF2B5EF4-FFF2-40B4-BE49-F238E27FC236}">
                <a16:creationId xmlns:a16="http://schemas.microsoft.com/office/drawing/2014/main" id="{CE53497A-B37D-4585-AB73-FA18B2FEDB07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Text Box 1270">
            <a:extLst>
              <a:ext uri="{FF2B5EF4-FFF2-40B4-BE49-F238E27FC236}">
                <a16:creationId xmlns:a16="http://schemas.microsoft.com/office/drawing/2014/main" id="{CD4E99E9-A7B3-4FCA-A0C3-69C99E925A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132</xdr:row>
      <xdr:rowOff>28575</xdr:rowOff>
    </xdr:from>
    <xdr:to>
      <xdr:col>62</xdr:col>
      <xdr:colOff>28575</xdr:colOff>
      <xdr:row>134</xdr:row>
      <xdr:rowOff>152400</xdr:rowOff>
    </xdr:to>
    <xdr:grpSp>
      <xdr:nvGrpSpPr>
        <xdr:cNvPr id="132" name="Group 1271">
          <a:extLst>
            <a:ext uri="{FF2B5EF4-FFF2-40B4-BE49-F238E27FC236}">
              <a16:creationId xmlns:a16="http://schemas.microsoft.com/office/drawing/2014/main" id="{8389518A-6F63-4B11-8492-BD95FD01105E}"/>
            </a:ext>
          </a:extLst>
        </xdr:cNvPr>
        <xdr:cNvGrpSpPr>
          <a:grpSpLocks/>
        </xdr:cNvGrpSpPr>
      </xdr:nvGrpSpPr>
      <xdr:grpSpPr bwMode="auto">
        <a:xfrm>
          <a:off x="12630150" y="21809075"/>
          <a:ext cx="939800" cy="520700"/>
          <a:chOff x="986" y="117"/>
          <a:chExt cx="107" cy="50"/>
        </a:xfrm>
      </xdr:grpSpPr>
      <xdr:sp macro="" textlink="">
        <xdr:nvSpPr>
          <xdr:cNvPr id="133" name="Line 1272">
            <a:extLst>
              <a:ext uri="{FF2B5EF4-FFF2-40B4-BE49-F238E27FC236}">
                <a16:creationId xmlns:a16="http://schemas.microsoft.com/office/drawing/2014/main" id="{0490B0BD-2846-47F9-A297-07D8DE03500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Text Box 1273">
            <a:extLst>
              <a:ext uri="{FF2B5EF4-FFF2-40B4-BE49-F238E27FC236}">
                <a16:creationId xmlns:a16="http://schemas.microsoft.com/office/drawing/2014/main" id="{A752BC42-E298-44B2-B310-095217114E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133</xdr:row>
      <xdr:rowOff>142875</xdr:rowOff>
    </xdr:from>
    <xdr:to>
      <xdr:col>62</xdr:col>
      <xdr:colOff>171450</xdr:colOff>
      <xdr:row>136</xdr:row>
      <xdr:rowOff>95250</xdr:rowOff>
    </xdr:to>
    <xdr:grpSp>
      <xdr:nvGrpSpPr>
        <xdr:cNvPr id="135" name="Group 1274">
          <a:extLst>
            <a:ext uri="{FF2B5EF4-FFF2-40B4-BE49-F238E27FC236}">
              <a16:creationId xmlns:a16="http://schemas.microsoft.com/office/drawing/2014/main" id="{0EA919A8-3214-4A4F-A30B-0B65A2069497}"/>
            </a:ext>
          </a:extLst>
        </xdr:cNvPr>
        <xdr:cNvGrpSpPr>
          <a:grpSpLocks/>
        </xdr:cNvGrpSpPr>
      </xdr:nvGrpSpPr>
      <xdr:grpSpPr bwMode="auto">
        <a:xfrm>
          <a:off x="12950825" y="22145625"/>
          <a:ext cx="762000" cy="476250"/>
          <a:chOff x="1148" y="209"/>
          <a:chExt cx="95" cy="52"/>
        </a:xfrm>
      </xdr:grpSpPr>
      <xdr:sp macro="" textlink="">
        <xdr:nvSpPr>
          <xdr:cNvPr id="136" name="Line 1275">
            <a:extLst>
              <a:ext uri="{FF2B5EF4-FFF2-40B4-BE49-F238E27FC236}">
                <a16:creationId xmlns:a16="http://schemas.microsoft.com/office/drawing/2014/main" id="{9CC553EC-B410-49C3-8475-611B76632EC7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Text Box 1276">
            <a:extLst>
              <a:ext uri="{FF2B5EF4-FFF2-40B4-BE49-F238E27FC236}">
                <a16:creationId xmlns:a16="http://schemas.microsoft.com/office/drawing/2014/main" id="{C5988FC5-BCA9-45A0-B118-EAB27BF08F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150</xdr:row>
      <xdr:rowOff>28575</xdr:rowOff>
    </xdr:from>
    <xdr:to>
      <xdr:col>45</xdr:col>
      <xdr:colOff>28575</xdr:colOff>
      <xdr:row>152</xdr:row>
      <xdr:rowOff>152400</xdr:rowOff>
    </xdr:to>
    <xdr:grpSp>
      <xdr:nvGrpSpPr>
        <xdr:cNvPr id="138" name="Group 1277">
          <a:extLst>
            <a:ext uri="{FF2B5EF4-FFF2-40B4-BE49-F238E27FC236}">
              <a16:creationId xmlns:a16="http://schemas.microsoft.com/office/drawing/2014/main" id="{E46DB8AB-D21C-4F4C-B818-69EFE6B06B5F}"/>
            </a:ext>
          </a:extLst>
        </xdr:cNvPr>
        <xdr:cNvGrpSpPr>
          <a:grpSpLocks/>
        </xdr:cNvGrpSpPr>
      </xdr:nvGrpSpPr>
      <xdr:grpSpPr bwMode="auto">
        <a:xfrm>
          <a:off x="8851900" y="24872950"/>
          <a:ext cx="939800" cy="457200"/>
          <a:chOff x="986" y="117"/>
          <a:chExt cx="107" cy="50"/>
        </a:xfrm>
      </xdr:grpSpPr>
      <xdr:sp macro="" textlink="">
        <xdr:nvSpPr>
          <xdr:cNvPr id="139" name="Line 1278">
            <a:extLst>
              <a:ext uri="{FF2B5EF4-FFF2-40B4-BE49-F238E27FC236}">
                <a16:creationId xmlns:a16="http://schemas.microsoft.com/office/drawing/2014/main" id="{E9E5D6E0-4409-4FBC-9356-100C10A21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Text Box 1279">
            <a:extLst>
              <a:ext uri="{FF2B5EF4-FFF2-40B4-BE49-F238E27FC236}">
                <a16:creationId xmlns:a16="http://schemas.microsoft.com/office/drawing/2014/main" id="{78782A4F-33E2-455D-B8CE-B048F72616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151</xdr:row>
      <xdr:rowOff>142875</xdr:rowOff>
    </xdr:from>
    <xdr:to>
      <xdr:col>45</xdr:col>
      <xdr:colOff>171450</xdr:colOff>
      <xdr:row>154</xdr:row>
      <xdr:rowOff>95250</xdr:rowOff>
    </xdr:to>
    <xdr:grpSp>
      <xdr:nvGrpSpPr>
        <xdr:cNvPr id="141" name="Group 1280">
          <a:extLst>
            <a:ext uri="{FF2B5EF4-FFF2-40B4-BE49-F238E27FC236}">
              <a16:creationId xmlns:a16="http://schemas.microsoft.com/office/drawing/2014/main" id="{BDFCD823-6806-42D5-B13E-7755A618AA1C}"/>
            </a:ext>
          </a:extLst>
        </xdr:cNvPr>
        <xdr:cNvGrpSpPr>
          <a:grpSpLocks/>
        </xdr:cNvGrpSpPr>
      </xdr:nvGrpSpPr>
      <xdr:grpSpPr bwMode="auto">
        <a:xfrm>
          <a:off x="9172575" y="25146000"/>
          <a:ext cx="762000" cy="476250"/>
          <a:chOff x="1148" y="209"/>
          <a:chExt cx="95" cy="52"/>
        </a:xfrm>
      </xdr:grpSpPr>
      <xdr:sp macro="" textlink="">
        <xdr:nvSpPr>
          <xdr:cNvPr id="142" name="Line 1281">
            <a:extLst>
              <a:ext uri="{FF2B5EF4-FFF2-40B4-BE49-F238E27FC236}">
                <a16:creationId xmlns:a16="http://schemas.microsoft.com/office/drawing/2014/main" id="{366CC65F-23CD-4939-A93C-FE12C78458C3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Text Box 1282">
            <a:extLst>
              <a:ext uri="{FF2B5EF4-FFF2-40B4-BE49-F238E27FC236}">
                <a16:creationId xmlns:a16="http://schemas.microsoft.com/office/drawing/2014/main" id="{86C0F386-DFA5-464B-A192-84A8F1BB32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150</xdr:row>
      <xdr:rowOff>28575</xdr:rowOff>
    </xdr:from>
    <xdr:to>
      <xdr:col>62</xdr:col>
      <xdr:colOff>28575</xdr:colOff>
      <xdr:row>152</xdr:row>
      <xdr:rowOff>152400</xdr:rowOff>
    </xdr:to>
    <xdr:grpSp>
      <xdr:nvGrpSpPr>
        <xdr:cNvPr id="144" name="Group 1283">
          <a:extLst>
            <a:ext uri="{FF2B5EF4-FFF2-40B4-BE49-F238E27FC236}">
              <a16:creationId xmlns:a16="http://schemas.microsoft.com/office/drawing/2014/main" id="{FFE8C24F-A417-4D5F-9E24-F2E311BA68AB}"/>
            </a:ext>
          </a:extLst>
        </xdr:cNvPr>
        <xdr:cNvGrpSpPr>
          <a:grpSpLocks/>
        </xdr:cNvGrpSpPr>
      </xdr:nvGrpSpPr>
      <xdr:grpSpPr bwMode="auto">
        <a:xfrm>
          <a:off x="12630150" y="24872950"/>
          <a:ext cx="939800" cy="457200"/>
          <a:chOff x="986" y="117"/>
          <a:chExt cx="107" cy="50"/>
        </a:xfrm>
      </xdr:grpSpPr>
      <xdr:sp macro="" textlink="">
        <xdr:nvSpPr>
          <xdr:cNvPr id="145" name="Line 1284">
            <a:extLst>
              <a:ext uri="{FF2B5EF4-FFF2-40B4-BE49-F238E27FC236}">
                <a16:creationId xmlns:a16="http://schemas.microsoft.com/office/drawing/2014/main" id="{C88B0A20-68B0-4026-AA66-6A5284521C15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6" name="Text Box 1285">
            <a:extLst>
              <a:ext uri="{FF2B5EF4-FFF2-40B4-BE49-F238E27FC236}">
                <a16:creationId xmlns:a16="http://schemas.microsoft.com/office/drawing/2014/main" id="{7B831E6E-F9FA-49D1-992C-45BB087100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151</xdr:row>
      <xdr:rowOff>142875</xdr:rowOff>
    </xdr:from>
    <xdr:to>
      <xdr:col>62</xdr:col>
      <xdr:colOff>171450</xdr:colOff>
      <xdr:row>154</xdr:row>
      <xdr:rowOff>95250</xdr:rowOff>
    </xdr:to>
    <xdr:grpSp>
      <xdr:nvGrpSpPr>
        <xdr:cNvPr id="147" name="Group 1286">
          <a:extLst>
            <a:ext uri="{FF2B5EF4-FFF2-40B4-BE49-F238E27FC236}">
              <a16:creationId xmlns:a16="http://schemas.microsoft.com/office/drawing/2014/main" id="{F17FE16A-7B89-4AED-A44F-9292A1E150FD}"/>
            </a:ext>
          </a:extLst>
        </xdr:cNvPr>
        <xdr:cNvGrpSpPr>
          <a:grpSpLocks/>
        </xdr:cNvGrpSpPr>
      </xdr:nvGrpSpPr>
      <xdr:grpSpPr bwMode="auto">
        <a:xfrm>
          <a:off x="12950825" y="25146000"/>
          <a:ext cx="762000" cy="476250"/>
          <a:chOff x="1148" y="209"/>
          <a:chExt cx="95" cy="52"/>
        </a:xfrm>
      </xdr:grpSpPr>
      <xdr:sp macro="" textlink="">
        <xdr:nvSpPr>
          <xdr:cNvPr id="148" name="Line 1287">
            <a:extLst>
              <a:ext uri="{FF2B5EF4-FFF2-40B4-BE49-F238E27FC236}">
                <a16:creationId xmlns:a16="http://schemas.microsoft.com/office/drawing/2014/main" id="{28864350-D767-49BC-A366-0AB28524F72A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" name="Text Box 1288">
            <a:extLst>
              <a:ext uri="{FF2B5EF4-FFF2-40B4-BE49-F238E27FC236}">
                <a16:creationId xmlns:a16="http://schemas.microsoft.com/office/drawing/2014/main" id="{6E7FDF11-2FF1-42D6-95D7-042649683EC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168</xdr:row>
      <xdr:rowOff>28575</xdr:rowOff>
    </xdr:from>
    <xdr:to>
      <xdr:col>45</xdr:col>
      <xdr:colOff>28575</xdr:colOff>
      <xdr:row>170</xdr:row>
      <xdr:rowOff>152400</xdr:rowOff>
    </xdr:to>
    <xdr:grpSp>
      <xdr:nvGrpSpPr>
        <xdr:cNvPr id="150" name="Group 1289">
          <a:extLst>
            <a:ext uri="{FF2B5EF4-FFF2-40B4-BE49-F238E27FC236}">
              <a16:creationId xmlns:a16="http://schemas.microsoft.com/office/drawing/2014/main" id="{D8B6908A-34DF-44A6-AEA4-5211EFC0B970}"/>
            </a:ext>
          </a:extLst>
        </xdr:cNvPr>
        <xdr:cNvGrpSpPr>
          <a:grpSpLocks/>
        </xdr:cNvGrpSpPr>
      </xdr:nvGrpSpPr>
      <xdr:grpSpPr bwMode="auto">
        <a:xfrm>
          <a:off x="8851900" y="27873325"/>
          <a:ext cx="939800" cy="457200"/>
          <a:chOff x="986" y="117"/>
          <a:chExt cx="107" cy="50"/>
        </a:xfrm>
      </xdr:grpSpPr>
      <xdr:sp macro="" textlink="">
        <xdr:nvSpPr>
          <xdr:cNvPr id="151" name="Line 1290">
            <a:extLst>
              <a:ext uri="{FF2B5EF4-FFF2-40B4-BE49-F238E27FC236}">
                <a16:creationId xmlns:a16="http://schemas.microsoft.com/office/drawing/2014/main" id="{261AEE3B-1099-46B1-96C9-FC215CA9443D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Text Box 1291">
            <a:extLst>
              <a:ext uri="{FF2B5EF4-FFF2-40B4-BE49-F238E27FC236}">
                <a16:creationId xmlns:a16="http://schemas.microsoft.com/office/drawing/2014/main" id="{95D059B8-A5B4-47C8-A1AA-7F99209493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169</xdr:row>
      <xdr:rowOff>142875</xdr:rowOff>
    </xdr:from>
    <xdr:to>
      <xdr:col>45</xdr:col>
      <xdr:colOff>171450</xdr:colOff>
      <xdr:row>172</xdr:row>
      <xdr:rowOff>95250</xdr:rowOff>
    </xdr:to>
    <xdr:grpSp>
      <xdr:nvGrpSpPr>
        <xdr:cNvPr id="153" name="Group 1292">
          <a:extLst>
            <a:ext uri="{FF2B5EF4-FFF2-40B4-BE49-F238E27FC236}">
              <a16:creationId xmlns:a16="http://schemas.microsoft.com/office/drawing/2014/main" id="{F4937E92-B2F7-485C-B4B2-9A3836308499}"/>
            </a:ext>
          </a:extLst>
        </xdr:cNvPr>
        <xdr:cNvGrpSpPr>
          <a:grpSpLocks/>
        </xdr:cNvGrpSpPr>
      </xdr:nvGrpSpPr>
      <xdr:grpSpPr bwMode="auto">
        <a:xfrm>
          <a:off x="9172575" y="28146375"/>
          <a:ext cx="762000" cy="476250"/>
          <a:chOff x="1148" y="209"/>
          <a:chExt cx="95" cy="52"/>
        </a:xfrm>
      </xdr:grpSpPr>
      <xdr:sp macro="" textlink="">
        <xdr:nvSpPr>
          <xdr:cNvPr id="154" name="Line 1293">
            <a:extLst>
              <a:ext uri="{FF2B5EF4-FFF2-40B4-BE49-F238E27FC236}">
                <a16:creationId xmlns:a16="http://schemas.microsoft.com/office/drawing/2014/main" id="{60A654E6-4A15-47D9-9A74-CFC7D7D60F5E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Text Box 1294">
            <a:extLst>
              <a:ext uri="{FF2B5EF4-FFF2-40B4-BE49-F238E27FC236}">
                <a16:creationId xmlns:a16="http://schemas.microsoft.com/office/drawing/2014/main" id="{CA5644D8-8025-4112-B9DB-90E2E17965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168</xdr:row>
      <xdr:rowOff>28575</xdr:rowOff>
    </xdr:from>
    <xdr:to>
      <xdr:col>62</xdr:col>
      <xdr:colOff>28575</xdr:colOff>
      <xdr:row>170</xdr:row>
      <xdr:rowOff>152400</xdr:rowOff>
    </xdr:to>
    <xdr:grpSp>
      <xdr:nvGrpSpPr>
        <xdr:cNvPr id="156" name="Group 1295">
          <a:extLst>
            <a:ext uri="{FF2B5EF4-FFF2-40B4-BE49-F238E27FC236}">
              <a16:creationId xmlns:a16="http://schemas.microsoft.com/office/drawing/2014/main" id="{56700F39-3078-4354-9CFF-DEB5FAF01B83}"/>
            </a:ext>
          </a:extLst>
        </xdr:cNvPr>
        <xdr:cNvGrpSpPr>
          <a:grpSpLocks/>
        </xdr:cNvGrpSpPr>
      </xdr:nvGrpSpPr>
      <xdr:grpSpPr bwMode="auto">
        <a:xfrm>
          <a:off x="12630150" y="27873325"/>
          <a:ext cx="939800" cy="457200"/>
          <a:chOff x="986" y="117"/>
          <a:chExt cx="107" cy="50"/>
        </a:xfrm>
      </xdr:grpSpPr>
      <xdr:sp macro="" textlink="">
        <xdr:nvSpPr>
          <xdr:cNvPr id="157" name="Line 1296">
            <a:extLst>
              <a:ext uri="{FF2B5EF4-FFF2-40B4-BE49-F238E27FC236}">
                <a16:creationId xmlns:a16="http://schemas.microsoft.com/office/drawing/2014/main" id="{DC6D991F-45E5-473A-A330-595737A24DB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Text Box 1297">
            <a:extLst>
              <a:ext uri="{FF2B5EF4-FFF2-40B4-BE49-F238E27FC236}">
                <a16:creationId xmlns:a16="http://schemas.microsoft.com/office/drawing/2014/main" id="{E56E0150-4683-42BF-B024-D0EFF31A2AE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169</xdr:row>
      <xdr:rowOff>142875</xdr:rowOff>
    </xdr:from>
    <xdr:to>
      <xdr:col>62</xdr:col>
      <xdr:colOff>171450</xdr:colOff>
      <xdr:row>172</xdr:row>
      <xdr:rowOff>95250</xdr:rowOff>
    </xdr:to>
    <xdr:grpSp>
      <xdr:nvGrpSpPr>
        <xdr:cNvPr id="159" name="Group 1298">
          <a:extLst>
            <a:ext uri="{FF2B5EF4-FFF2-40B4-BE49-F238E27FC236}">
              <a16:creationId xmlns:a16="http://schemas.microsoft.com/office/drawing/2014/main" id="{2FC1063E-8E13-43DC-9CE5-4E08AB56FB67}"/>
            </a:ext>
          </a:extLst>
        </xdr:cNvPr>
        <xdr:cNvGrpSpPr>
          <a:grpSpLocks/>
        </xdr:cNvGrpSpPr>
      </xdr:nvGrpSpPr>
      <xdr:grpSpPr bwMode="auto">
        <a:xfrm>
          <a:off x="12950825" y="28146375"/>
          <a:ext cx="762000" cy="476250"/>
          <a:chOff x="1148" y="209"/>
          <a:chExt cx="95" cy="52"/>
        </a:xfrm>
      </xdr:grpSpPr>
      <xdr:sp macro="" textlink="">
        <xdr:nvSpPr>
          <xdr:cNvPr id="160" name="Line 1299">
            <a:extLst>
              <a:ext uri="{FF2B5EF4-FFF2-40B4-BE49-F238E27FC236}">
                <a16:creationId xmlns:a16="http://schemas.microsoft.com/office/drawing/2014/main" id="{9FEEBB03-DF70-49A6-AC86-B2650B87D5E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Text Box 1300">
            <a:extLst>
              <a:ext uri="{FF2B5EF4-FFF2-40B4-BE49-F238E27FC236}">
                <a16:creationId xmlns:a16="http://schemas.microsoft.com/office/drawing/2014/main" id="{13BDED32-110F-4186-B991-3D606BCBC5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194</xdr:row>
      <xdr:rowOff>28575</xdr:rowOff>
    </xdr:from>
    <xdr:to>
      <xdr:col>45</xdr:col>
      <xdr:colOff>28575</xdr:colOff>
      <xdr:row>196</xdr:row>
      <xdr:rowOff>152400</xdr:rowOff>
    </xdr:to>
    <xdr:grpSp>
      <xdr:nvGrpSpPr>
        <xdr:cNvPr id="162" name="Group 1301">
          <a:extLst>
            <a:ext uri="{FF2B5EF4-FFF2-40B4-BE49-F238E27FC236}">
              <a16:creationId xmlns:a16="http://schemas.microsoft.com/office/drawing/2014/main" id="{D87CECEE-C73C-4618-993E-698B2DEFB7A5}"/>
            </a:ext>
          </a:extLst>
        </xdr:cNvPr>
        <xdr:cNvGrpSpPr>
          <a:grpSpLocks/>
        </xdr:cNvGrpSpPr>
      </xdr:nvGrpSpPr>
      <xdr:grpSpPr bwMode="auto">
        <a:xfrm>
          <a:off x="8851900" y="32096075"/>
          <a:ext cx="939800" cy="520700"/>
          <a:chOff x="986" y="117"/>
          <a:chExt cx="107" cy="50"/>
        </a:xfrm>
      </xdr:grpSpPr>
      <xdr:sp macro="" textlink="">
        <xdr:nvSpPr>
          <xdr:cNvPr id="163" name="Line 1302">
            <a:extLst>
              <a:ext uri="{FF2B5EF4-FFF2-40B4-BE49-F238E27FC236}">
                <a16:creationId xmlns:a16="http://schemas.microsoft.com/office/drawing/2014/main" id="{EC649DE9-7830-4A6A-A1C6-6511B797DE2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Text Box 1303">
            <a:extLst>
              <a:ext uri="{FF2B5EF4-FFF2-40B4-BE49-F238E27FC236}">
                <a16:creationId xmlns:a16="http://schemas.microsoft.com/office/drawing/2014/main" id="{ED58F894-90C4-497F-A48C-025B2E63FA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195</xdr:row>
      <xdr:rowOff>142875</xdr:rowOff>
    </xdr:from>
    <xdr:to>
      <xdr:col>45</xdr:col>
      <xdr:colOff>171450</xdr:colOff>
      <xdr:row>198</xdr:row>
      <xdr:rowOff>95250</xdr:rowOff>
    </xdr:to>
    <xdr:grpSp>
      <xdr:nvGrpSpPr>
        <xdr:cNvPr id="165" name="Group 1304">
          <a:extLst>
            <a:ext uri="{FF2B5EF4-FFF2-40B4-BE49-F238E27FC236}">
              <a16:creationId xmlns:a16="http://schemas.microsoft.com/office/drawing/2014/main" id="{1673C48E-EC94-4640-A218-2DD45563F199}"/>
            </a:ext>
          </a:extLst>
        </xdr:cNvPr>
        <xdr:cNvGrpSpPr>
          <a:grpSpLocks/>
        </xdr:cNvGrpSpPr>
      </xdr:nvGrpSpPr>
      <xdr:grpSpPr bwMode="auto">
        <a:xfrm>
          <a:off x="9172575" y="32432625"/>
          <a:ext cx="762000" cy="476250"/>
          <a:chOff x="1148" y="209"/>
          <a:chExt cx="95" cy="52"/>
        </a:xfrm>
      </xdr:grpSpPr>
      <xdr:sp macro="" textlink="">
        <xdr:nvSpPr>
          <xdr:cNvPr id="166" name="Line 1305">
            <a:extLst>
              <a:ext uri="{FF2B5EF4-FFF2-40B4-BE49-F238E27FC236}">
                <a16:creationId xmlns:a16="http://schemas.microsoft.com/office/drawing/2014/main" id="{3340849E-0935-47DF-B827-EDE589956147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Text Box 1306">
            <a:extLst>
              <a:ext uri="{FF2B5EF4-FFF2-40B4-BE49-F238E27FC236}">
                <a16:creationId xmlns:a16="http://schemas.microsoft.com/office/drawing/2014/main" id="{EF8A8031-3AAB-47F5-BACD-6AC1E8D4E7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194</xdr:row>
      <xdr:rowOff>28575</xdr:rowOff>
    </xdr:from>
    <xdr:to>
      <xdr:col>62</xdr:col>
      <xdr:colOff>28575</xdr:colOff>
      <xdr:row>196</xdr:row>
      <xdr:rowOff>152400</xdr:rowOff>
    </xdr:to>
    <xdr:grpSp>
      <xdr:nvGrpSpPr>
        <xdr:cNvPr id="168" name="Group 1307">
          <a:extLst>
            <a:ext uri="{FF2B5EF4-FFF2-40B4-BE49-F238E27FC236}">
              <a16:creationId xmlns:a16="http://schemas.microsoft.com/office/drawing/2014/main" id="{02A6E0AF-9D20-4ADF-8A50-ECFBA236B171}"/>
            </a:ext>
          </a:extLst>
        </xdr:cNvPr>
        <xdr:cNvGrpSpPr>
          <a:grpSpLocks/>
        </xdr:cNvGrpSpPr>
      </xdr:nvGrpSpPr>
      <xdr:grpSpPr bwMode="auto">
        <a:xfrm>
          <a:off x="12630150" y="32096075"/>
          <a:ext cx="939800" cy="520700"/>
          <a:chOff x="986" y="117"/>
          <a:chExt cx="107" cy="50"/>
        </a:xfrm>
      </xdr:grpSpPr>
      <xdr:sp macro="" textlink="">
        <xdr:nvSpPr>
          <xdr:cNvPr id="169" name="Line 1308">
            <a:extLst>
              <a:ext uri="{FF2B5EF4-FFF2-40B4-BE49-F238E27FC236}">
                <a16:creationId xmlns:a16="http://schemas.microsoft.com/office/drawing/2014/main" id="{83DFACC2-F4E8-43F8-B960-17F1045C89C6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" name="Text Box 1309">
            <a:extLst>
              <a:ext uri="{FF2B5EF4-FFF2-40B4-BE49-F238E27FC236}">
                <a16:creationId xmlns:a16="http://schemas.microsoft.com/office/drawing/2014/main" id="{6C85EFA0-4634-4577-ACE0-4FA1C70C7A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195</xdr:row>
      <xdr:rowOff>142875</xdr:rowOff>
    </xdr:from>
    <xdr:to>
      <xdr:col>62</xdr:col>
      <xdr:colOff>171450</xdr:colOff>
      <xdr:row>198</xdr:row>
      <xdr:rowOff>95250</xdr:rowOff>
    </xdr:to>
    <xdr:grpSp>
      <xdr:nvGrpSpPr>
        <xdr:cNvPr id="171" name="Group 1310">
          <a:extLst>
            <a:ext uri="{FF2B5EF4-FFF2-40B4-BE49-F238E27FC236}">
              <a16:creationId xmlns:a16="http://schemas.microsoft.com/office/drawing/2014/main" id="{59D802C9-F4E9-4B28-86CE-047042369E0C}"/>
            </a:ext>
          </a:extLst>
        </xdr:cNvPr>
        <xdr:cNvGrpSpPr>
          <a:grpSpLocks/>
        </xdr:cNvGrpSpPr>
      </xdr:nvGrpSpPr>
      <xdr:grpSpPr bwMode="auto">
        <a:xfrm>
          <a:off x="12950825" y="32432625"/>
          <a:ext cx="762000" cy="476250"/>
          <a:chOff x="1148" y="209"/>
          <a:chExt cx="95" cy="52"/>
        </a:xfrm>
      </xdr:grpSpPr>
      <xdr:sp macro="" textlink="">
        <xdr:nvSpPr>
          <xdr:cNvPr id="172" name="Line 1311">
            <a:extLst>
              <a:ext uri="{FF2B5EF4-FFF2-40B4-BE49-F238E27FC236}">
                <a16:creationId xmlns:a16="http://schemas.microsoft.com/office/drawing/2014/main" id="{C4F03138-FCDD-4185-8B36-BBC7A0A9187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Text Box 1312">
            <a:extLst>
              <a:ext uri="{FF2B5EF4-FFF2-40B4-BE49-F238E27FC236}">
                <a16:creationId xmlns:a16="http://schemas.microsoft.com/office/drawing/2014/main" id="{38DA2F29-7EC2-471F-A1D5-9E6AB2EFB0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212</xdr:row>
      <xdr:rowOff>28575</xdr:rowOff>
    </xdr:from>
    <xdr:to>
      <xdr:col>45</xdr:col>
      <xdr:colOff>28575</xdr:colOff>
      <xdr:row>214</xdr:row>
      <xdr:rowOff>152400</xdr:rowOff>
    </xdr:to>
    <xdr:grpSp>
      <xdr:nvGrpSpPr>
        <xdr:cNvPr id="174" name="Group 1313">
          <a:extLst>
            <a:ext uri="{FF2B5EF4-FFF2-40B4-BE49-F238E27FC236}">
              <a16:creationId xmlns:a16="http://schemas.microsoft.com/office/drawing/2014/main" id="{012B7343-263D-4C4E-B461-F04E0E593047}"/>
            </a:ext>
          </a:extLst>
        </xdr:cNvPr>
        <xdr:cNvGrpSpPr>
          <a:grpSpLocks/>
        </xdr:cNvGrpSpPr>
      </xdr:nvGrpSpPr>
      <xdr:grpSpPr bwMode="auto">
        <a:xfrm>
          <a:off x="8851900" y="35159950"/>
          <a:ext cx="939800" cy="457200"/>
          <a:chOff x="986" y="117"/>
          <a:chExt cx="107" cy="50"/>
        </a:xfrm>
      </xdr:grpSpPr>
      <xdr:sp macro="" textlink="">
        <xdr:nvSpPr>
          <xdr:cNvPr id="175" name="Line 1314">
            <a:extLst>
              <a:ext uri="{FF2B5EF4-FFF2-40B4-BE49-F238E27FC236}">
                <a16:creationId xmlns:a16="http://schemas.microsoft.com/office/drawing/2014/main" id="{5B9CE143-F800-4694-A5EF-C2FC8528FD9A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6" name="Text Box 1315">
            <a:extLst>
              <a:ext uri="{FF2B5EF4-FFF2-40B4-BE49-F238E27FC236}">
                <a16:creationId xmlns:a16="http://schemas.microsoft.com/office/drawing/2014/main" id="{71F169B4-8400-4759-897A-D789063BD0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213</xdr:row>
      <xdr:rowOff>142875</xdr:rowOff>
    </xdr:from>
    <xdr:to>
      <xdr:col>45</xdr:col>
      <xdr:colOff>171450</xdr:colOff>
      <xdr:row>216</xdr:row>
      <xdr:rowOff>95250</xdr:rowOff>
    </xdr:to>
    <xdr:grpSp>
      <xdr:nvGrpSpPr>
        <xdr:cNvPr id="177" name="Group 1316">
          <a:extLst>
            <a:ext uri="{FF2B5EF4-FFF2-40B4-BE49-F238E27FC236}">
              <a16:creationId xmlns:a16="http://schemas.microsoft.com/office/drawing/2014/main" id="{90A01A9D-149E-454D-BC81-2FD05FDDA138}"/>
            </a:ext>
          </a:extLst>
        </xdr:cNvPr>
        <xdr:cNvGrpSpPr>
          <a:grpSpLocks/>
        </xdr:cNvGrpSpPr>
      </xdr:nvGrpSpPr>
      <xdr:grpSpPr bwMode="auto">
        <a:xfrm>
          <a:off x="9172575" y="35433000"/>
          <a:ext cx="762000" cy="476250"/>
          <a:chOff x="1148" y="209"/>
          <a:chExt cx="95" cy="52"/>
        </a:xfrm>
      </xdr:grpSpPr>
      <xdr:sp macro="" textlink="">
        <xdr:nvSpPr>
          <xdr:cNvPr id="178" name="Line 1317">
            <a:extLst>
              <a:ext uri="{FF2B5EF4-FFF2-40B4-BE49-F238E27FC236}">
                <a16:creationId xmlns:a16="http://schemas.microsoft.com/office/drawing/2014/main" id="{26C9514D-D4AF-409B-BA88-EDFB26F2B47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Text Box 1318">
            <a:extLst>
              <a:ext uri="{FF2B5EF4-FFF2-40B4-BE49-F238E27FC236}">
                <a16:creationId xmlns:a16="http://schemas.microsoft.com/office/drawing/2014/main" id="{4EFF7835-7620-4812-AD05-8428680BD3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212</xdr:row>
      <xdr:rowOff>28575</xdr:rowOff>
    </xdr:from>
    <xdr:to>
      <xdr:col>62</xdr:col>
      <xdr:colOff>28575</xdr:colOff>
      <xdr:row>214</xdr:row>
      <xdr:rowOff>152400</xdr:rowOff>
    </xdr:to>
    <xdr:grpSp>
      <xdr:nvGrpSpPr>
        <xdr:cNvPr id="180" name="Group 1319">
          <a:extLst>
            <a:ext uri="{FF2B5EF4-FFF2-40B4-BE49-F238E27FC236}">
              <a16:creationId xmlns:a16="http://schemas.microsoft.com/office/drawing/2014/main" id="{DB6414FD-4608-46AA-BEDF-20B48CAEDF9D}"/>
            </a:ext>
          </a:extLst>
        </xdr:cNvPr>
        <xdr:cNvGrpSpPr>
          <a:grpSpLocks/>
        </xdr:cNvGrpSpPr>
      </xdr:nvGrpSpPr>
      <xdr:grpSpPr bwMode="auto">
        <a:xfrm>
          <a:off x="12630150" y="35159950"/>
          <a:ext cx="939800" cy="457200"/>
          <a:chOff x="986" y="117"/>
          <a:chExt cx="107" cy="50"/>
        </a:xfrm>
      </xdr:grpSpPr>
      <xdr:sp macro="" textlink="">
        <xdr:nvSpPr>
          <xdr:cNvPr id="181" name="Line 1320">
            <a:extLst>
              <a:ext uri="{FF2B5EF4-FFF2-40B4-BE49-F238E27FC236}">
                <a16:creationId xmlns:a16="http://schemas.microsoft.com/office/drawing/2014/main" id="{04C04BF9-3ADD-43F7-B179-FEB8BEEFC01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2" name="Text Box 1321">
            <a:extLst>
              <a:ext uri="{FF2B5EF4-FFF2-40B4-BE49-F238E27FC236}">
                <a16:creationId xmlns:a16="http://schemas.microsoft.com/office/drawing/2014/main" id="{B80E6ED6-0D91-4231-A6C9-7BEF144C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213</xdr:row>
      <xdr:rowOff>142875</xdr:rowOff>
    </xdr:from>
    <xdr:to>
      <xdr:col>62</xdr:col>
      <xdr:colOff>171450</xdr:colOff>
      <xdr:row>216</xdr:row>
      <xdr:rowOff>95250</xdr:rowOff>
    </xdr:to>
    <xdr:grpSp>
      <xdr:nvGrpSpPr>
        <xdr:cNvPr id="183" name="Group 1322">
          <a:extLst>
            <a:ext uri="{FF2B5EF4-FFF2-40B4-BE49-F238E27FC236}">
              <a16:creationId xmlns:a16="http://schemas.microsoft.com/office/drawing/2014/main" id="{8CE90862-0124-4D59-AD69-C73F937224A3}"/>
            </a:ext>
          </a:extLst>
        </xdr:cNvPr>
        <xdr:cNvGrpSpPr>
          <a:grpSpLocks/>
        </xdr:cNvGrpSpPr>
      </xdr:nvGrpSpPr>
      <xdr:grpSpPr bwMode="auto">
        <a:xfrm>
          <a:off x="12950825" y="35433000"/>
          <a:ext cx="762000" cy="476250"/>
          <a:chOff x="1148" y="209"/>
          <a:chExt cx="95" cy="52"/>
        </a:xfrm>
      </xdr:grpSpPr>
      <xdr:sp macro="" textlink="">
        <xdr:nvSpPr>
          <xdr:cNvPr id="184" name="Line 1323">
            <a:extLst>
              <a:ext uri="{FF2B5EF4-FFF2-40B4-BE49-F238E27FC236}">
                <a16:creationId xmlns:a16="http://schemas.microsoft.com/office/drawing/2014/main" id="{46A6333E-2A22-4F8D-99D1-1E226875AE5F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Text Box 1324">
            <a:extLst>
              <a:ext uri="{FF2B5EF4-FFF2-40B4-BE49-F238E27FC236}">
                <a16:creationId xmlns:a16="http://schemas.microsoft.com/office/drawing/2014/main" id="{610BDE7F-A696-44C4-A0A7-F007A18331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230</xdr:row>
      <xdr:rowOff>28575</xdr:rowOff>
    </xdr:from>
    <xdr:to>
      <xdr:col>45</xdr:col>
      <xdr:colOff>28575</xdr:colOff>
      <xdr:row>232</xdr:row>
      <xdr:rowOff>152400</xdr:rowOff>
    </xdr:to>
    <xdr:grpSp>
      <xdr:nvGrpSpPr>
        <xdr:cNvPr id="186" name="Group 1325">
          <a:extLst>
            <a:ext uri="{FF2B5EF4-FFF2-40B4-BE49-F238E27FC236}">
              <a16:creationId xmlns:a16="http://schemas.microsoft.com/office/drawing/2014/main" id="{D8CA753E-1CD5-4F1C-93E5-FB62759FBB01}"/>
            </a:ext>
          </a:extLst>
        </xdr:cNvPr>
        <xdr:cNvGrpSpPr>
          <a:grpSpLocks/>
        </xdr:cNvGrpSpPr>
      </xdr:nvGrpSpPr>
      <xdr:grpSpPr bwMode="auto">
        <a:xfrm>
          <a:off x="8851900" y="38160325"/>
          <a:ext cx="939800" cy="457200"/>
          <a:chOff x="986" y="117"/>
          <a:chExt cx="107" cy="50"/>
        </a:xfrm>
      </xdr:grpSpPr>
      <xdr:sp macro="" textlink="">
        <xdr:nvSpPr>
          <xdr:cNvPr id="187" name="Line 1326">
            <a:extLst>
              <a:ext uri="{FF2B5EF4-FFF2-40B4-BE49-F238E27FC236}">
                <a16:creationId xmlns:a16="http://schemas.microsoft.com/office/drawing/2014/main" id="{A4731FB2-838A-44D2-A6A8-2A768ECFE6E3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Text Box 1327">
            <a:extLst>
              <a:ext uri="{FF2B5EF4-FFF2-40B4-BE49-F238E27FC236}">
                <a16:creationId xmlns:a16="http://schemas.microsoft.com/office/drawing/2014/main" id="{83A6FA7D-E10D-4C68-BE75-63C26C6517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231</xdr:row>
      <xdr:rowOff>142875</xdr:rowOff>
    </xdr:from>
    <xdr:to>
      <xdr:col>45</xdr:col>
      <xdr:colOff>171450</xdr:colOff>
      <xdr:row>234</xdr:row>
      <xdr:rowOff>95250</xdr:rowOff>
    </xdr:to>
    <xdr:grpSp>
      <xdr:nvGrpSpPr>
        <xdr:cNvPr id="189" name="Group 1328">
          <a:extLst>
            <a:ext uri="{FF2B5EF4-FFF2-40B4-BE49-F238E27FC236}">
              <a16:creationId xmlns:a16="http://schemas.microsoft.com/office/drawing/2014/main" id="{C6DBF431-B5FC-4ADA-B72F-E1379788C115}"/>
            </a:ext>
          </a:extLst>
        </xdr:cNvPr>
        <xdr:cNvGrpSpPr>
          <a:grpSpLocks/>
        </xdr:cNvGrpSpPr>
      </xdr:nvGrpSpPr>
      <xdr:grpSpPr bwMode="auto">
        <a:xfrm>
          <a:off x="9172575" y="38433375"/>
          <a:ext cx="762000" cy="476250"/>
          <a:chOff x="1148" y="209"/>
          <a:chExt cx="95" cy="52"/>
        </a:xfrm>
      </xdr:grpSpPr>
      <xdr:sp macro="" textlink="">
        <xdr:nvSpPr>
          <xdr:cNvPr id="190" name="Line 1329">
            <a:extLst>
              <a:ext uri="{FF2B5EF4-FFF2-40B4-BE49-F238E27FC236}">
                <a16:creationId xmlns:a16="http://schemas.microsoft.com/office/drawing/2014/main" id="{1FDB50A2-8734-4989-94BC-2B389436B74D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" name="Text Box 1330">
            <a:extLst>
              <a:ext uri="{FF2B5EF4-FFF2-40B4-BE49-F238E27FC236}">
                <a16:creationId xmlns:a16="http://schemas.microsoft.com/office/drawing/2014/main" id="{6903F461-347B-4285-86E7-DBED1B8FAD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230</xdr:row>
      <xdr:rowOff>28575</xdr:rowOff>
    </xdr:from>
    <xdr:to>
      <xdr:col>62</xdr:col>
      <xdr:colOff>28575</xdr:colOff>
      <xdr:row>232</xdr:row>
      <xdr:rowOff>152400</xdr:rowOff>
    </xdr:to>
    <xdr:grpSp>
      <xdr:nvGrpSpPr>
        <xdr:cNvPr id="192" name="Group 1331">
          <a:extLst>
            <a:ext uri="{FF2B5EF4-FFF2-40B4-BE49-F238E27FC236}">
              <a16:creationId xmlns:a16="http://schemas.microsoft.com/office/drawing/2014/main" id="{93354A88-FD40-4039-A290-08FED8048C68}"/>
            </a:ext>
          </a:extLst>
        </xdr:cNvPr>
        <xdr:cNvGrpSpPr>
          <a:grpSpLocks/>
        </xdr:cNvGrpSpPr>
      </xdr:nvGrpSpPr>
      <xdr:grpSpPr bwMode="auto">
        <a:xfrm>
          <a:off x="12630150" y="38160325"/>
          <a:ext cx="939800" cy="457200"/>
          <a:chOff x="986" y="117"/>
          <a:chExt cx="107" cy="50"/>
        </a:xfrm>
      </xdr:grpSpPr>
      <xdr:sp macro="" textlink="">
        <xdr:nvSpPr>
          <xdr:cNvPr id="193" name="Line 1332">
            <a:extLst>
              <a:ext uri="{FF2B5EF4-FFF2-40B4-BE49-F238E27FC236}">
                <a16:creationId xmlns:a16="http://schemas.microsoft.com/office/drawing/2014/main" id="{885CE5D7-DD5F-4A03-90C1-0B1DF6A724B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" name="Text Box 1333">
            <a:extLst>
              <a:ext uri="{FF2B5EF4-FFF2-40B4-BE49-F238E27FC236}">
                <a16:creationId xmlns:a16="http://schemas.microsoft.com/office/drawing/2014/main" id="{E9DAEB6A-6044-4988-971A-71447C8EDA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231</xdr:row>
      <xdr:rowOff>142875</xdr:rowOff>
    </xdr:from>
    <xdr:to>
      <xdr:col>62</xdr:col>
      <xdr:colOff>171450</xdr:colOff>
      <xdr:row>234</xdr:row>
      <xdr:rowOff>95250</xdr:rowOff>
    </xdr:to>
    <xdr:grpSp>
      <xdr:nvGrpSpPr>
        <xdr:cNvPr id="195" name="Group 1334">
          <a:extLst>
            <a:ext uri="{FF2B5EF4-FFF2-40B4-BE49-F238E27FC236}">
              <a16:creationId xmlns:a16="http://schemas.microsoft.com/office/drawing/2014/main" id="{90E64BC6-C48F-4332-923F-13E2C00A4CD5}"/>
            </a:ext>
          </a:extLst>
        </xdr:cNvPr>
        <xdr:cNvGrpSpPr>
          <a:grpSpLocks/>
        </xdr:cNvGrpSpPr>
      </xdr:nvGrpSpPr>
      <xdr:grpSpPr bwMode="auto">
        <a:xfrm>
          <a:off x="12950825" y="38433375"/>
          <a:ext cx="762000" cy="476250"/>
          <a:chOff x="1148" y="209"/>
          <a:chExt cx="95" cy="52"/>
        </a:xfrm>
      </xdr:grpSpPr>
      <xdr:sp macro="" textlink="">
        <xdr:nvSpPr>
          <xdr:cNvPr id="196" name="Line 1335">
            <a:extLst>
              <a:ext uri="{FF2B5EF4-FFF2-40B4-BE49-F238E27FC236}">
                <a16:creationId xmlns:a16="http://schemas.microsoft.com/office/drawing/2014/main" id="{3AEBF865-CCC3-43E2-BD15-6282159E199E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" name="Text Box 1336">
            <a:extLst>
              <a:ext uri="{FF2B5EF4-FFF2-40B4-BE49-F238E27FC236}">
                <a16:creationId xmlns:a16="http://schemas.microsoft.com/office/drawing/2014/main" id="{FCD100A2-26E3-4BAE-9B5D-433C8642CE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256</xdr:row>
      <xdr:rowOff>28575</xdr:rowOff>
    </xdr:from>
    <xdr:to>
      <xdr:col>45</xdr:col>
      <xdr:colOff>28575</xdr:colOff>
      <xdr:row>258</xdr:row>
      <xdr:rowOff>152400</xdr:rowOff>
    </xdr:to>
    <xdr:grpSp>
      <xdr:nvGrpSpPr>
        <xdr:cNvPr id="198" name="Group 1337">
          <a:extLst>
            <a:ext uri="{FF2B5EF4-FFF2-40B4-BE49-F238E27FC236}">
              <a16:creationId xmlns:a16="http://schemas.microsoft.com/office/drawing/2014/main" id="{83544BD7-5910-405D-ABD6-F75870B0F462}"/>
            </a:ext>
          </a:extLst>
        </xdr:cNvPr>
        <xdr:cNvGrpSpPr>
          <a:grpSpLocks/>
        </xdr:cNvGrpSpPr>
      </xdr:nvGrpSpPr>
      <xdr:grpSpPr bwMode="auto">
        <a:xfrm>
          <a:off x="8851900" y="42383075"/>
          <a:ext cx="939800" cy="520700"/>
          <a:chOff x="986" y="117"/>
          <a:chExt cx="107" cy="50"/>
        </a:xfrm>
      </xdr:grpSpPr>
      <xdr:sp macro="" textlink="">
        <xdr:nvSpPr>
          <xdr:cNvPr id="199" name="Line 1338">
            <a:extLst>
              <a:ext uri="{FF2B5EF4-FFF2-40B4-BE49-F238E27FC236}">
                <a16:creationId xmlns:a16="http://schemas.microsoft.com/office/drawing/2014/main" id="{A0F14A18-CF3D-4CE2-A7F6-44C2D891F5D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Text Box 1339">
            <a:extLst>
              <a:ext uri="{FF2B5EF4-FFF2-40B4-BE49-F238E27FC236}">
                <a16:creationId xmlns:a16="http://schemas.microsoft.com/office/drawing/2014/main" id="{21B7DB84-59F4-4CFC-9B1E-C5232AE6EF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257</xdr:row>
      <xdr:rowOff>142875</xdr:rowOff>
    </xdr:from>
    <xdr:to>
      <xdr:col>45</xdr:col>
      <xdr:colOff>171450</xdr:colOff>
      <xdr:row>260</xdr:row>
      <xdr:rowOff>95250</xdr:rowOff>
    </xdr:to>
    <xdr:grpSp>
      <xdr:nvGrpSpPr>
        <xdr:cNvPr id="201" name="Group 1340">
          <a:extLst>
            <a:ext uri="{FF2B5EF4-FFF2-40B4-BE49-F238E27FC236}">
              <a16:creationId xmlns:a16="http://schemas.microsoft.com/office/drawing/2014/main" id="{DB29B7BF-B944-4E02-8EDE-8157DCFD68B7}"/>
            </a:ext>
          </a:extLst>
        </xdr:cNvPr>
        <xdr:cNvGrpSpPr>
          <a:grpSpLocks/>
        </xdr:cNvGrpSpPr>
      </xdr:nvGrpSpPr>
      <xdr:grpSpPr bwMode="auto">
        <a:xfrm>
          <a:off x="9172575" y="42719625"/>
          <a:ext cx="762000" cy="476250"/>
          <a:chOff x="1148" y="209"/>
          <a:chExt cx="95" cy="52"/>
        </a:xfrm>
      </xdr:grpSpPr>
      <xdr:sp macro="" textlink="">
        <xdr:nvSpPr>
          <xdr:cNvPr id="202" name="Line 1341">
            <a:extLst>
              <a:ext uri="{FF2B5EF4-FFF2-40B4-BE49-F238E27FC236}">
                <a16:creationId xmlns:a16="http://schemas.microsoft.com/office/drawing/2014/main" id="{6107021C-B28E-4484-9CA4-EE89052600C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Text Box 1342">
            <a:extLst>
              <a:ext uri="{FF2B5EF4-FFF2-40B4-BE49-F238E27FC236}">
                <a16:creationId xmlns:a16="http://schemas.microsoft.com/office/drawing/2014/main" id="{E73A9CBE-614B-4CA6-8041-FD771CCC91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256</xdr:row>
      <xdr:rowOff>28575</xdr:rowOff>
    </xdr:from>
    <xdr:to>
      <xdr:col>62</xdr:col>
      <xdr:colOff>28575</xdr:colOff>
      <xdr:row>258</xdr:row>
      <xdr:rowOff>152400</xdr:rowOff>
    </xdr:to>
    <xdr:grpSp>
      <xdr:nvGrpSpPr>
        <xdr:cNvPr id="204" name="Group 1343">
          <a:extLst>
            <a:ext uri="{FF2B5EF4-FFF2-40B4-BE49-F238E27FC236}">
              <a16:creationId xmlns:a16="http://schemas.microsoft.com/office/drawing/2014/main" id="{166AB132-3E6C-4DF7-A0B4-BFA4F91A60AE}"/>
            </a:ext>
          </a:extLst>
        </xdr:cNvPr>
        <xdr:cNvGrpSpPr>
          <a:grpSpLocks/>
        </xdr:cNvGrpSpPr>
      </xdr:nvGrpSpPr>
      <xdr:grpSpPr bwMode="auto">
        <a:xfrm>
          <a:off x="12630150" y="42383075"/>
          <a:ext cx="939800" cy="520700"/>
          <a:chOff x="986" y="117"/>
          <a:chExt cx="107" cy="50"/>
        </a:xfrm>
      </xdr:grpSpPr>
      <xdr:sp macro="" textlink="">
        <xdr:nvSpPr>
          <xdr:cNvPr id="205" name="Line 1344">
            <a:extLst>
              <a:ext uri="{FF2B5EF4-FFF2-40B4-BE49-F238E27FC236}">
                <a16:creationId xmlns:a16="http://schemas.microsoft.com/office/drawing/2014/main" id="{080E20AB-50F4-4759-BD63-53B9C1E1FB3E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Text Box 1345">
            <a:extLst>
              <a:ext uri="{FF2B5EF4-FFF2-40B4-BE49-F238E27FC236}">
                <a16:creationId xmlns:a16="http://schemas.microsoft.com/office/drawing/2014/main" id="{3B3FE718-948F-4D5F-B301-C5BDE9C65A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257</xdr:row>
      <xdr:rowOff>142875</xdr:rowOff>
    </xdr:from>
    <xdr:to>
      <xdr:col>62</xdr:col>
      <xdr:colOff>171450</xdr:colOff>
      <xdr:row>260</xdr:row>
      <xdr:rowOff>95250</xdr:rowOff>
    </xdr:to>
    <xdr:grpSp>
      <xdr:nvGrpSpPr>
        <xdr:cNvPr id="207" name="Group 1346">
          <a:extLst>
            <a:ext uri="{FF2B5EF4-FFF2-40B4-BE49-F238E27FC236}">
              <a16:creationId xmlns:a16="http://schemas.microsoft.com/office/drawing/2014/main" id="{05A2A23E-F916-4976-821F-6CF6891F17F4}"/>
            </a:ext>
          </a:extLst>
        </xdr:cNvPr>
        <xdr:cNvGrpSpPr>
          <a:grpSpLocks/>
        </xdr:cNvGrpSpPr>
      </xdr:nvGrpSpPr>
      <xdr:grpSpPr bwMode="auto">
        <a:xfrm>
          <a:off x="12950825" y="42719625"/>
          <a:ext cx="762000" cy="476250"/>
          <a:chOff x="1148" y="209"/>
          <a:chExt cx="95" cy="52"/>
        </a:xfrm>
      </xdr:grpSpPr>
      <xdr:sp macro="" textlink="">
        <xdr:nvSpPr>
          <xdr:cNvPr id="208" name="Line 1347">
            <a:extLst>
              <a:ext uri="{FF2B5EF4-FFF2-40B4-BE49-F238E27FC236}">
                <a16:creationId xmlns:a16="http://schemas.microsoft.com/office/drawing/2014/main" id="{78E5E150-DFB0-4676-B07E-13C72C790009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" name="Text Box 1348">
            <a:extLst>
              <a:ext uri="{FF2B5EF4-FFF2-40B4-BE49-F238E27FC236}">
                <a16:creationId xmlns:a16="http://schemas.microsoft.com/office/drawing/2014/main" id="{43AC7AE9-2CF6-4B6B-98C5-3B4272AD06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274</xdr:row>
      <xdr:rowOff>28575</xdr:rowOff>
    </xdr:from>
    <xdr:to>
      <xdr:col>45</xdr:col>
      <xdr:colOff>28575</xdr:colOff>
      <xdr:row>276</xdr:row>
      <xdr:rowOff>152400</xdr:rowOff>
    </xdr:to>
    <xdr:grpSp>
      <xdr:nvGrpSpPr>
        <xdr:cNvPr id="210" name="Group 1349">
          <a:extLst>
            <a:ext uri="{FF2B5EF4-FFF2-40B4-BE49-F238E27FC236}">
              <a16:creationId xmlns:a16="http://schemas.microsoft.com/office/drawing/2014/main" id="{E640FF57-DDA7-42F2-9417-49B67771B947}"/>
            </a:ext>
          </a:extLst>
        </xdr:cNvPr>
        <xdr:cNvGrpSpPr>
          <a:grpSpLocks/>
        </xdr:cNvGrpSpPr>
      </xdr:nvGrpSpPr>
      <xdr:grpSpPr bwMode="auto">
        <a:xfrm>
          <a:off x="8851900" y="45446950"/>
          <a:ext cx="939800" cy="457200"/>
          <a:chOff x="986" y="117"/>
          <a:chExt cx="107" cy="50"/>
        </a:xfrm>
      </xdr:grpSpPr>
      <xdr:sp macro="" textlink="">
        <xdr:nvSpPr>
          <xdr:cNvPr id="211" name="Line 1350">
            <a:extLst>
              <a:ext uri="{FF2B5EF4-FFF2-40B4-BE49-F238E27FC236}">
                <a16:creationId xmlns:a16="http://schemas.microsoft.com/office/drawing/2014/main" id="{D3EA4397-F3C4-435A-866E-7DAA47F130F9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" name="Text Box 1351">
            <a:extLst>
              <a:ext uri="{FF2B5EF4-FFF2-40B4-BE49-F238E27FC236}">
                <a16:creationId xmlns:a16="http://schemas.microsoft.com/office/drawing/2014/main" id="{9DA1333D-A308-439D-B377-A1617F11E4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275</xdr:row>
      <xdr:rowOff>142875</xdr:rowOff>
    </xdr:from>
    <xdr:to>
      <xdr:col>45</xdr:col>
      <xdr:colOff>171450</xdr:colOff>
      <xdr:row>278</xdr:row>
      <xdr:rowOff>95250</xdr:rowOff>
    </xdr:to>
    <xdr:grpSp>
      <xdr:nvGrpSpPr>
        <xdr:cNvPr id="213" name="Group 1352">
          <a:extLst>
            <a:ext uri="{FF2B5EF4-FFF2-40B4-BE49-F238E27FC236}">
              <a16:creationId xmlns:a16="http://schemas.microsoft.com/office/drawing/2014/main" id="{C19F06D3-7CF9-4198-8CEA-4E5221656931}"/>
            </a:ext>
          </a:extLst>
        </xdr:cNvPr>
        <xdr:cNvGrpSpPr>
          <a:grpSpLocks/>
        </xdr:cNvGrpSpPr>
      </xdr:nvGrpSpPr>
      <xdr:grpSpPr bwMode="auto">
        <a:xfrm>
          <a:off x="9172575" y="45720000"/>
          <a:ext cx="762000" cy="476250"/>
          <a:chOff x="1148" y="209"/>
          <a:chExt cx="95" cy="52"/>
        </a:xfrm>
      </xdr:grpSpPr>
      <xdr:sp macro="" textlink="">
        <xdr:nvSpPr>
          <xdr:cNvPr id="214" name="Line 1353">
            <a:extLst>
              <a:ext uri="{FF2B5EF4-FFF2-40B4-BE49-F238E27FC236}">
                <a16:creationId xmlns:a16="http://schemas.microsoft.com/office/drawing/2014/main" id="{56EC9CC2-8273-4D47-A800-5FB4C8C1743F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" name="Text Box 1354">
            <a:extLst>
              <a:ext uri="{FF2B5EF4-FFF2-40B4-BE49-F238E27FC236}">
                <a16:creationId xmlns:a16="http://schemas.microsoft.com/office/drawing/2014/main" id="{6F770679-F0C8-452C-864E-3D1DBC968D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274</xdr:row>
      <xdr:rowOff>28575</xdr:rowOff>
    </xdr:from>
    <xdr:to>
      <xdr:col>62</xdr:col>
      <xdr:colOff>28575</xdr:colOff>
      <xdr:row>276</xdr:row>
      <xdr:rowOff>152400</xdr:rowOff>
    </xdr:to>
    <xdr:grpSp>
      <xdr:nvGrpSpPr>
        <xdr:cNvPr id="216" name="Group 1355">
          <a:extLst>
            <a:ext uri="{FF2B5EF4-FFF2-40B4-BE49-F238E27FC236}">
              <a16:creationId xmlns:a16="http://schemas.microsoft.com/office/drawing/2014/main" id="{01F32D6C-2100-459D-9CD0-96EEC0CA95AA}"/>
            </a:ext>
          </a:extLst>
        </xdr:cNvPr>
        <xdr:cNvGrpSpPr>
          <a:grpSpLocks/>
        </xdr:cNvGrpSpPr>
      </xdr:nvGrpSpPr>
      <xdr:grpSpPr bwMode="auto">
        <a:xfrm>
          <a:off x="12630150" y="45446950"/>
          <a:ext cx="939800" cy="457200"/>
          <a:chOff x="986" y="117"/>
          <a:chExt cx="107" cy="50"/>
        </a:xfrm>
      </xdr:grpSpPr>
      <xdr:sp macro="" textlink="">
        <xdr:nvSpPr>
          <xdr:cNvPr id="217" name="Line 1356">
            <a:extLst>
              <a:ext uri="{FF2B5EF4-FFF2-40B4-BE49-F238E27FC236}">
                <a16:creationId xmlns:a16="http://schemas.microsoft.com/office/drawing/2014/main" id="{6A740713-7D97-4351-9F32-C70EFB9B1C71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Text Box 1357">
            <a:extLst>
              <a:ext uri="{FF2B5EF4-FFF2-40B4-BE49-F238E27FC236}">
                <a16:creationId xmlns:a16="http://schemas.microsoft.com/office/drawing/2014/main" id="{896DB697-850E-45B4-8123-DB8A6CDD89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275</xdr:row>
      <xdr:rowOff>142875</xdr:rowOff>
    </xdr:from>
    <xdr:to>
      <xdr:col>62</xdr:col>
      <xdr:colOff>171450</xdr:colOff>
      <xdr:row>278</xdr:row>
      <xdr:rowOff>95250</xdr:rowOff>
    </xdr:to>
    <xdr:grpSp>
      <xdr:nvGrpSpPr>
        <xdr:cNvPr id="219" name="Group 1358">
          <a:extLst>
            <a:ext uri="{FF2B5EF4-FFF2-40B4-BE49-F238E27FC236}">
              <a16:creationId xmlns:a16="http://schemas.microsoft.com/office/drawing/2014/main" id="{9F3E1B79-6B70-450E-8515-916ACB1D3599}"/>
            </a:ext>
          </a:extLst>
        </xdr:cNvPr>
        <xdr:cNvGrpSpPr>
          <a:grpSpLocks/>
        </xdr:cNvGrpSpPr>
      </xdr:nvGrpSpPr>
      <xdr:grpSpPr bwMode="auto">
        <a:xfrm>
          <a:off x="12950825" y="45720000"/>
          <a:ext cx="762000" cy="476250"/>
          <a:chOff x="1148" y="209"/>
          <a:chExt cx="95" cy="52"/>
        </a:xfrm>
      </xdr:grpSpPr>
      <xdr:sp macro="" textlink="">
        <xdr:nvSpPr>
          <xdr:cNvPr id="220" name="Line 1359">
            <a:extLst>
              <a:ext uri="{FF2B5EF4-FFF2-40B4-BE49-F238E27FC236}">
                <a16:creationId xmlns:a16="http://schemas.microsoft.com/office/drawing/2014/main" id="{061837E5-BF55-497D-9CDD-AD964D140C5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Text Box 1360">
            <a:extLst>
              <a:ext uri="{FF2B5EF4-FFF2-40B4-BE49-F238E27FC236}">
                <a16:creationId xmlns:a16="http://schemas.microsoft.com/office/drawing/2014/main" id="{7EFC50AF-8B81-4BBC-AAB0-3A45C6F096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292</xdr:row>
      <xdr:rowOff>28575</xdr:rowOff>
    </xdr:from>
    <xdr:to>
      <xdr:col>45</xdr:col>
      <xdr:colOff>28575</xdr:colOff>
      <xdr:row>294</xdr:row>
      <xdr:rowOff>152400</xdr:rowOff>
    </xdr:to>
    <xdr:grpSp>
      <xdr:nvGrpSpPr>
        <xdr:cNvPr id="222" name="Group 1361">
          <a:extLst>
            <a:ext uri="{FF2B5EF4-FFF2-40B4-BE49-F238E27FC236}">
              <a16:creationId xmlns:a16="http://schemas.microsoft.com/office/drawing/2014/main" id="{38275D61-5D56-412B-88E8-6BB98E4A57C4}"/>
            </a:ext>
          </a:extLst>
        </xdr:cNvPr>
        <xdr:cNvGrpSpPr>
          <a:grpSpLocks/>
        </xdr:cNvGrpSpPr>
      </xdr:nvGrpSpPr>
      <xdr:grpSpPr bwMode="auto">
        <a:xfrm>
          <a:off x="8851900" y="48447325"/>
          <a:ext cx="939800" cy="457200"/>
          <a:chOff x="986" y="117"/>
          <a:chExt cx="107" cy="50"/>
        </a:xfrm>
      </xdr:grpSpPr>
      <xdr:sp macro="" textlink="">
        <xdr:nvSpPr>
          <xdr:cNvPr id="223" name="Line 1362">
            <a:extLst>
              <a:ext uri="{FF2B5EF4-FFF2-40B4-BE49-F238E27FC236}">
                <a16:creationId xmlns:a16="http://schemas.microsoft.com/office/drawing/2014/main" id="{4E34E6F8-7680-4C85-956E-A865626AF48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" name="Text Box 1363">
            <a:extLst>
              <a:ext uri="{FF2B5EF4-FFF2-40B4-BE49-F238E27FC236}">
                <a16:creationId xmlns:a16="http://schemas.microsoft.com/office/drawing/2014/main" id="{8A7C9379-5617-40A4-BF39-10D097B729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293</xdr:row>
      <xdr:rowOff>142875</xdr:rowOff>
    </xdr:from>
    <xdr:to>
      <xdr:col>45</xdr:col>
      <xdr:colOff>171450</xdr:colOff>
      <xdr:row>296</xdr:row>
      <xdr:rowOff>95250</xdr:rowOff>
    </xdr:to>
    <xdr:grpSp>
      <xdr:nvGrpSpPr>
        <xdr:cNvPr id="225" name="Group 1364">
          <a:extLst>
            <a:ext uri="{FF2B5EF4-FFF2-40B4-BE49-F238E27FC236}">
              <a16:creationId xmlns:a16="http://schemas.microsoft.com/office/drawing/2014/main" id="{E94E27A7-D8BA-4195-B376-630086755C00}"/>
            </a:ext>
          </a:extLst>
        </xdr:cNvPr>
        <xdr:cNvGrpSpPr>
          <a:grpSpLocks/>
        </xdr:cNvGrpSpPr>
      </xdr:nvGrpSpPr>
      <xdr:grpSpPr bwMode="auto">
        <a:xfrm>
          <a:off x="9172575" y="48720375"/>
          <a:ext cx="762000" cy="476250"/>
          <a:chOff x="1148" y="209"/>
          <a:chExt cx="95" cy="52"/>
        </a:xfrm>
      </xdr:grpSpPr>
      <xdr:sp macro="" textlink="">
        <xdr:nvSpPr>
          <xdr:cNvPr id="226" name="Line 1365">
            <a:extLst>
              <a:ext uri="{FF2B5EF4-FFF2-40B4-BE49-F238E27FC236}">
                <a16:creationId xmlns:a16="http://schemas.microsoft.com/office/drawing/2014/main" id="{14196F7E-946B-4807-9558-6D99CD42C4C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" name="Text Box 1366">
            <a:extLst>
              <a:ext uri="{FF2B5EF4-FFF2-40B4-BE49-F238E27FC236}">
                <a16:creationId xmlns:a16="http://schemas.microsoft.com/office/drawing/2014/main" id="{14CB4D6F-4CB6-4B13-922C-5E5606282C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292</xdr:row>
      <xdr:rowOff>28575</xdr:rowOff>
    </xdr:from>
    <xdr:to>
      <xdr:col>62</xdr:col>
      <xdr:colOff>28575</xdr:colOff>
      <xdr:row>294</xdr:row>
      <xdr:rowOff>152400</xdr:rowOff>
    </xdr:to>
    <xdr:grpSp>
      <xdr:nvGrpSpPr>
        <xdr:cNvPr id="228" name="Group 1367">
          <a:extLst>
            <a:ext uri="{FF2B5EF4-FFF2-40B4-BE49-F238E27FC236}">
              <a16:creationId xmlns:a16="http://schemas.microsoft.com/office/drawing/2014/main" id="{4C6440F9-5140-4C4B-9E3C-A9101E4D545E}"/>
            </a:ext>
          </a:extLst>
        </xdr:cNvPr>
        <xdr:cNvGrpSpPr>
          <a:grpSpLocks/>
        </xdr:cNvGrpSpPr>
      </xdr:nvGrpSpPr>
      <xdr:grpSpPr bwMode="auto">
        <a:xfrm>
          <a:off x="12630150" y="48447325"/>
          <a:ext cx="939800" cy="457200"/>
          <a:chOff x="986" y="117"/>
          <a:chExt cx="107" cy="50"/>
        </a:xfrm>
      </xdr:grpSpPr>
      <xdr:sp macro="" textlink="">
        <xdr:nvSpPr>
          <xdr:cNvPr id="229" name="Line 1368">
            <a:extLst>
              <a:ext uri="{FF2B5EF4-FFF2-40B4-BE49-F238E27FC236}">
                <a16:creationId xmlns:a16="http://schemas.microsoft.com/office/drawing/2014/main" id="{951AB510-B06B-49CA-9449-345F18DDC904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" name="Text Box 1369">
            <a:extLst>
              <a:ext uri="{FF2B5EF4-FFF2-40B4-BE49-F238E27FC236}">
                <a16:creationId xmlns:a16="http://schemas.microsoft.com/office/drawing/2014/main" id="{792361D6-7AFF-47E2-AC8C-386CBAC44C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293</xdr:row>
      <xdr:rowOff>142875</xdr:rowOff>
    </xdr:from>
    <xdr:to>
      <xdr:col>62</xdr:col>
      <xdr:colOff>171450</xdr:colOff>
      <xdr:row>296</xdr:row>
      <xdr:rowOff>95250</xdr:rowOff>
    </xdr:to>
    <xdr:grpSp>
      <xdr:nvGrpSpPr>
        <xdr:cNvPr id="231" name="Group 1370">
          <a:extLst>
            <a:ext uri="{FF2B5EF4-FFF2-40B4-BE49-F238E27FC236}">
              <a16:creationId xmlns:a16="http://schemas.microsoft.com/office/drawing/2014/main" id="{F518BF9E-4156-45D1-8FF7-BC6CA6453BDE}"/>
            </a:ext>
          </a:extLst>
        </xdr:cNvPr>
        <xdr:cNvGrpSpPr>
          <a:grpSpLocks/>
        </xdr:cNvGrpSpPr>
      </xdr:nvGrpSpPr>
      <xdr:grpSpPr bwMode="auto">
        <a:xfrm>
          <a:off x="12950825" y="48720375"/>
          <a:ext cx="762000" cy="476250"/>
          <a:chOff x="1148" y="209"/>
          <a:chExt cx="95" cy="52"/>
        </a:xfrm>
      </xdr:grpSpPr>
      <xdr:sp macro="" textlink="">
        <xdr:nvSpPr>
          <xdr:cNvPr id="232" name="Line 1371">
            <a:extLst>
              <a:ext uri="{FF2B5EF4-FFF2-40B4-BE49-F238E27FC236}">
                <a16:creationId xmlns:a16="http://schemas.microsoft.com/office/drawing/2014/main" id="{63602899-942A-49AD-93CA-E51B40E3BAA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Text Box 1372">
            <a:extLst>
              <a:ext uri="{FF2B5EF4-FFF2-40B4-BE49-F238E27FC236}">
                <a16:creationId xmlns:a16="http://schemas.microsoft.com/office/drawing/2014/main" id="{5E2D463A-318D-4F48-91E3-0A37059A5A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318</xdr:row>
      <xdr:rowOff>28575</xdr:rowOff>
    </xdr:from>
    <xdr:to>
      <xdr:col>45</xdr:col>
      <xdr:colOff>28575</xdr:colOff>
      <xdr:row>320</xdr:row>
      <xdr:rowOff>152400</xdr:rowOff>
    </xdr:to>
    <xdr:grpSp>
      <xdr:nvGrpSpPr>
        <xdr:cNvPr id="234" name="Group 1373">
          <a:extLst>
            <a:ext uri="{FF2B5EF4-FFF2-40B4-BE49-F238E27FC236}">
              <a16:creationId xmlns:a16="http://schemas.microsoft.com/office/drawing/2014/main" id="{0FCAD631-25E0-442D-9107-B85D3565AB78}"/>
            </a:ext>
          </a:extLst>
        </xdr:cNvPr>
        <xdr:cNvGrpSpPr>
          <a:grpSpLocks/>
        </xdr:cNvGrpSpPr>
      </xdr:nvGrpSpPr>
      <xdr:grpSpPr bwMode="auto">
        <a:xfrm>
          <a:off x="8851900" y="52670075"/>
          <a:ext cx="939800" cy="520700"/>
          <a:chOff x="986" y="117"/>
          <a:chExt cx="107" cy="50"/>
        </a:xfrm>
      </xdr:grpSpPr>
      <xdr:sp macro="" textlink="">
        <xdr:nvSpPr>
          <xdr:cNvPr id="235" name="Line 1374">
            <a:extLst>
              <a:ext uri="{FF2B5EF4-FFF2-40B4-BE49-F238E27FC236}">
                <a16:creationId xmlns:a16="http://schemas.microsoft.com/office/drawing/2014/main" id="{A42E6C8F-307A-4907-B6FF-DDCA1DBCF82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Text Box 1375">
            <a:extLst>
              <a:ext uri="{FF2B5EF4-FFF2-40B4-BE49-F238E27FC236}">
                <a16:creationId xmlns:a16="http://schemas.microsoft.com/office/drawing/2014/main" id="{6925CA53-83A4-4CA8-BA6E-44AF879344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319</xdr:row>
      <xdr:rowOff>142875</xdr:rowOff>
    </xdr:from>
    <xdr:to>
      <xdr:col>45</xdr:col>
      <xdr:colOff>171450</xdr:colOff>
      <xdr:row>322</xdr:row>
      <xdr:rowOff>95250</xdr:rowOff>
    </xdr:to>
    <xdr:grpSp>
      <xdr:nvGrpSpPr>
        <xdr:cNvPr id="237" name="Group 1376">
          <a:extLst>
            <a:ext uri="{FF2B5EF4-FFF2-40B4-BE49-F238E27FC236}">
              <a16:creationId xmlns:a16="http://schemas.microsoft.com/office/drawing/2014/main" id="{96546635-524B-4641-9A13-D167203E8C43}"/>
            </a:ext>
          </a:extLst>
        </xdr:cNvPr>
        <xdr:cNvGrpSpPr>
          <a:grpSpLocks/>
        </xdr:cNvGrpSpPr>
      </xdr:nvGrpSpPr>
      <xdr:grpSpPr bwMode="auto">
        <a:xfrm>
          <a:off x="9172575" y="53006625"/>
          <a:ext cx="762000" cy="476250"/>
          <a:chOff x="1148" y="209"/>
          <a:chExt cx="95" cy="52"/>
        </a:xfrm>
      </xdr:grpSpPr>
      <xdr:sp macro="" textlink="">
        <xdr:nvSpPr>
          <xdr:cNvPr id="238" name="Line 1377">
            <a:extLst>
              <a:ext uri="{FF2B5EF4-FFF2-40B4-BE49-F238E27FC236}">
                <a16:creationId xmlns:a16="http://schemas.microsoft.com/office/drawing/2014/main" id="{C378FB8E-1331-4603-87E2-228C480FDF4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" name="Text Box 1378">
            <a:extLst>
              <a:ext uri="{FF2B5EF4-FFF2-40B4-BE49-F238E27FC236}">
                <a16:creationId xmlns:a16="http://schemas.microsoft.com/office/drawing/2014/main" id="{53CD4301-0CAC-4795-8E83-5170889643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318</xdr:row>
      <xdr:rowOff>28575</xdr:rowOff>
    </xdr:from>
    <xdr:to>
      <xdr:col>62</xdr:col>
      <xdr:colOff>28575</xdr:colOff>
      <xdr:row>320</xdr:row>
      <xdr:rowOff>152400</xdr:rowOff>
    </xdr:to>
    <xdr:grpSp>
      <xdr:nvGrpSpPr>
        <xdr:cNvPr id="240" name="Group 1379">
          <a:extLst>
            <a:ext uri="{FF2B5EF4-FFF2-40B4-BE49-F238E27FC236}">
              <a16:creationId xmlns:a16="http://schemas.microsoft.com/office/drawing/2014/main" id="{0961B2F1-E6F2-4C19-A1B1-57D9E754C671}"/>
            </a:ext>
          </a:extLst>
        </xdr:cNvPr>
        <xdr:cNvGrpSpPr>
          <a:grpSpLocks/>
        </xdr:cNvGrpSpPr>
      </xdr:nvGrpSpPr>
      <xdr:grpSpPr bwMode="auto">
        <a:xfrm>
          <a:off x="12630150" y="52670075"/>
          <a:ext cx="939800" cy="520700"/>
          <a:chOff x="986" y="117"/>
          <a:chExt cx="107" cy="50"/>
        </a:xfrm>
      </xdr:grpSpPr>
      <xdr:sp macro="" textlink="">
        <xdr:nvSpPr>
          <xdr:cNvPr id="241" name="Line 1380">
            <a:extLst>
              <a:ext uri="{FF2B5EF4-FFF2-40B4-BE49-F238E27FC236}">
                <a16:creationId xmlns:a16="http://schemas.microsoft.com/office/drawing/2014/main" id="{468CD76A-C5CA-4683-A0D6-350C84F1F2DD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2" name="Text Box 1381">
            <a:extLst>
              <a:ext uri="{FF2B5EF4-FFF2-40B4-BE49-F238E27FC236}">
                <a16:creationId xmlns:a16="http://schemas.microsoft.com/office/drawing/2014/main" id="{D15212BC-38A1-447C-BCB4-441CB53A64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319</xdr:row>
      <xdr:rowOff>142875</xdr:rowOff>
    </xdr:from>
    <xdr:to>
      <xdr:col>62</xdr:col>
      <xdr:colOff>171450</xdr:colOff>
      <xdr:row>322</xdr:row>
      <xdr:rowOff>95250</xdr:rowOff>
    </xdr:to>
    <xdr:grpSp>
      <xdr:nvGrpSpPr>
        <xdr:cNvPr id="243" name="Group 1382">
          <a:extLst>
            <a:ext uri="{FF2B5EF4-FFF2-40B4-BE49-F238E27FC236}">
              <a16:creationId xmlns:a16="http://schemas.microsoft.com/office/drawing/2014/main" id="{E63F7C5B-0AFD-4EFD-8D12-859CE8D20552}"/>
            </a:ext>
          </a:extLst>
        </xdr:cNvPr>
        <xdr:cNvGrpSpPr>
          <a:grpSpLocks/>
        </xdr:cNvGrpSpPr>
      </xdr:nvGrpSpPr>
      <xdr:grpSpPr bwMode="auto">
        <a:xfrm>
          <a:off x="12950825" y="53006625"/>
          <a:ext cx="762000" cy="476250"/>
          <a:chOff x="1148" y="209"/>
          <a:chExt cx="95" cy="52"/>
        </a:xfrm>
      </xdr:grpSpPr>
      <xdr:sp macro="" textlink="">
        <xdr:nvSpPr>
          <xdr:cNvPr id="244" name="Line 1383">
            <a:extLst>
              <a:ext uri="{FF2B5EF4-FFF2-40B4-BE49-F238E27FC236}">
                <a16:creationId xmlns:a16="http://schemas.microsoft.com/office/drawing/2014/main" id="{4531C125-8536-43CE-991B-C94D2FEDBACA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5" name="Text Box 1384">
            <a:extLst>
              <a:ext uri="{FF2B5EF4-FFF2-40B4-BE49-F238E27FC236}">
                <a16:creationId xmlns:a16="http://schemas.microsoft.com/office/drawing/2014/main" id="{DD528FC1-3AF6-4230-83AF-B2BAEE87C2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336</xdr:row>
      <xdr:rowOff>28575</xdr:rowOff>
    </xdr:from>
    <xdr:to>
      <xdr:col>45</xdr:col>
      <xdr:colOff>28575</xdr:colOff>
      <xdr:row>338</xdr:row>
      <xdr:rowOff>152400</xdr:rowOff>
    </xdr:to>
    <xdr:grpSp>
      <xdr:nvGrpSpPr>
        <xdr:cNvPr id="246" name="Group 1385">
          <a:extLst>
            <a:ext uri="{FF2B5EF4-FFF2-40B4-BE49-F238E27FC236}">
              <a16:creationId xmlns:a16="http://schemas.microsoft.com/office/drawing/2014/main" id="{DC280762-FB3F-446B-BA23-697A15A80C45}"/>
            </a:ext>
          </a:extLst>
        </xdr:cNvPr>
        <xdr:cNvGrpSpPr>
          <a:grpSpLocks/>
        </xdr:cNvGrpSpPr>
      </xdr:nvGrpSpPr>
      <xdr:grpSpPr bwMode="auto">
        <a:xfrm>
          <a:off x="8851900" y="55733950"/>
          <a:ext cx="939800" cy="457200"/>
          <a:chOff x="986" y="117"/>
          <a:chExt cx="107" cy="50"/>
        </a:xfrm>
      </xdr:grpSpPr>
      <xdr:sp macro="" textlink="">
        <xdr:nvSpPr>
          <xdr:cNvPr id="247" name="Line 1386">
            <a:extLst>
              <a:ext uri="{FF2B5EF4-FFF2-40B4-BE49-F238E27FC236}">
                <a16:creationId xmlns:a16="http://schemas.microsoft.com/office/drawing/2014/main" id="{A95533F2-6EDF-40E3-9B70-0BAEDBDC251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" name="Text Box 1387">
            <a:extLst>
              <a:ext uri="{FF2B5EF4-FFF2-40B4-BE49-F238E27FC236}">
                <a16:creationId xmlns:a16="http://schemas.microsoft.com/office/drawing/2014/main" id="{06082B7D-FAE7-4B8C-B358-89E88E382A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337</xdr:row>
      <xdr:rowOff>142875</xdr:rowOff>
    </xdr:from>
    <xdr:to>
      <xdr:col>45</xdr:col>
      <xdr:colOff>171450</xdr:colOff>
      <xdr:row>340</xdr:row>
      <xdr:rowOff>95250</xdr:rowOff>
    </xdr:to>
    <xdr:grpSp>
      <xdr:nvGrpSpPr>
        <xdr:cNvPr id="249" name="Group 1388">
          <a:extLst>
            <a:ext uri="{FF2B5EF4-FFF2-40B4-BE49-F238E27FC236}">
              <a16:creationId xmlns:a16="http://schemas.microsoft.com/office/drawing/2014/main" id="{08F326BF-AF45-4242-B68F-F5F2061C57FE}"/>
            </a:ext>
          </a:extLst>
        </xdr:cNvPr>
        <xdr:cNvGrpSpPr>
          <a:grpSpLocks/>
        </xdr:cNvGrpSpPr>
      </xdr:nvGrpSpPr>
      <xdr:grpSpPr bwMode="auto">
        <a:xfrm>
          <a:off x="9172575" y="56007000"/>
          <a:ext cx="762000" cy="476250"/>
          <a:chOff x="1148" y="209"/>
          <a:chExt cx="95" cy="52"/>
        </a:xfrm>
      </xdr:grpSpPr>
      <xdr:sp macro="" textlink="">
        <xdr:nvSpPr>
          <xdr:cNvPr id="250" name="Line 1389">
            <a:extLst>
              <a:ext uri="{FF2B5EF4-FFF2-40B4-BE49-F238E27FC236}">
                <a16:creationId xmlns:a16="http://schemas.microsoft.com/office/drawing/2014/main" id="{51806B54-6E2B-4D74-8DC7-84C8EECB929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" name="Text Box 1390">
            <a:extLst>
              <a:ext uri="{FF2B5EF4-FFF2-40B4-BE49-F238E27FC236}">
                <a16:creationId xmlns:a16="http://schemas.microsoft.com/office/drawing/2014/main" id="{5E2549F7-1AA6-46E9-B0E3-CE85C3C3DE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336</xdr:row>
      <xdr:rowOff>28575</xdr:rowOff>
    </xdr:from>
    <xdr:to>
      <xdr:col>62</xdr:col>
      <xdr:colOff>28575</xdr:colOff>
      <xdr:row>338</xdr:row>
      <xdr:rowOff>152400</xdr:rowOff>
    </xdr:to>
    <xdr:grpSp>
      <xdr:nvGrpSpPr>
        <xdr:cNvPr id="252" name="Group 1391">
          <a:extLst>
            <a:ext uri="{FF2B5EF4-FFF2-40B4-BE49-F238E27FC236}">
              <a16:creationId xmlns:a16="http://schemas.microsoft.com/office/drawing/2014/main" id="{570E22A8-461B-48CB-87D5-EDB2C8F07513}"/>
            </a:ext>
          </a:extLst>
        </xdr:cNvPr>
        <xdr:cNvGrpSpPr>
          <a:grpSpLocks/>
        </xdr:cNvGrpSpPr>
      </xdr:nvGrpSpPr>
      <xdr:grpSpPr bwMode="auto">
        <a:xfrm>
          <a:off x="12630150" y="55733950"/>
          <a:ext cx="939800" cy="457200"/>
          <a:chOff x="986" y="117"/>
          <a:chExt cx="107" cy="50"/>
        </a:xfrm>
      </xdr:grpSpPr>
      <xdr:sp macro="" textlink="">
        <xdr:nvSpPr>
          <xdr:cNvPr id="253" name="Line 1392">
            <a:extLst>
              <a:ext uri="{FF2B5EF4-FFF2-40B4-BE49-F238E27FC236}">
                <a16:creationId xmlns:a16="http://schemas.microsoft.com/office/drawing/2014/main" id="{C8D32F67-A888-488F-89CC-5F2A8132B2F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4" name="Text Box 1393">
            <a:extLst>
              <a:ext uri="{FF2B5EF4-FFF2-40B4-BE49-F238E27FC236}">
                <a16:creationId xmlns:a16="http://schemas.microsoft.com/office/drawing/2014/main" id="{8A98E77F-B119-4082-9C9C-F594FF142C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337</xdr:row>
      <xdr:rowOff>142875</xdr:rowOff>
    </xdr:from>
    <xdr:to>
      <xdr:col>62</xdr:col>
      <xdr:colOff>171450</xdr:colOff>
      <xdr:row>340</xdr:row>
      <xdr:rowOff>95250</xdr:rowOff>
    </xdr:to>
    <xdr:grpSp>
      <xdr:nvGrpSpPr>
        <xdr:cNvPr id="255" name="Group 1394">
          <a:extLst>
            <a:ext uri="{FF2B5EF4-FFF2-40B4-BE49-F238E27FC236}">
              <a16:creationId xmlns:a16="http://schemas.microsoft.com/office/drawing/2014/main" id="{E1EE824A-7372-45FA-831E-30FA4CE3D07F}"/>
            </a:ext>
          </a:extLst>
        </xdr:cNvPr>
        <xdr:cNvGrpSpPr>
          <a:grpSpLocks/>
        </xdr:cNvGrpSpPr>
      </xdr:nvGrpSpPr>
      <xdr:grpSpPr bwMode="auto">
        <a:xfrm>
          <a:off x="12950825" y="56007000"/>
          <a:ext cx="762000" cy="476250"/>
          <a:chOff x="1148" y="209"/>
          <a:chExt cx="95" cy="52"/>
        </a:xfrm>
      </xdr:grpSpPr>
      <xdr:sp macro="" textlink="">
        <xdr:nvSpPr>
          <xdr:cNvPr id="256" name="Line 1395">
            <a:extLst>
              <a:ext uri="{FF2B5EF4-FFF2-40B4-BE49-F238E27FC236}">
                <a16:creationId xmlns:a16="http://schemas.microsoft.com/office/drawing/2014/main" id="{9D39D6E1-C86B-4E1A-AEA6-2E826A363152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" name="Text Box 1396">
            <a:extLst>
              <a:ext uri="{FF2B5EF4-FFF2-40B4-BE49-F238E27FC236}">
                <a16:creationId xmlns:a16="http://schemas.microsoft.com/office/drawing/2014/main" id="{7D9B5724-B988-4592-A92D-54ED70BB2D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354</xdr:row>
      <xdr:rowOff>28575</xdr:rowOff>
    </xdr:from>
    <xdr:to>
      <xdr:col>45</xdr:col>
      <xdr:colOff>28575</xdr:colOff>
      <xdr:row>356</xdr:row>
      <xdr:rowOff>152400</xdr:rowOff>
    </xdr:to>
    <xdr:grpSp>
      <xdr:nvGrpSpPr>
        <xdr:cNvPr id="258" name="Group 1397">
          <a:extLst>
            <a:ext uri="{FF2B5EF4-FFF2-40B4-BE49-F238E27FC236}">
              <a16:creationId xmlns:a16="http://schemas.microsoft.com/office/drawing/2014/main" id="{4A7771D6-0045-42EB-BF3A-C336B254C112}"/>
            </a:ext>
          </a:extLst>
        </xdr:cNvPr>
        <xdr:cNvGrpSpPr>
          <a:grpSpLocks/>
        </xdr:cNvGrpSpPr>
      </xdr:nvGrpSpPr>
      <xdr:grpSpPr bwMode="auto">
        <a:xfrm>
          <a:off x="8851900" y="58734325"/>
          <a:ext cx="939800" cy="457200"/>
          <a:chOff x="986" y="117"/>
          <a:chExt cx="107" cy="50"/>
        </a:xfrm>
      </xdr:grpSpPr>
      <xdr:sp macro="" textlink="">
        <xdr:nvSpPr>
          <xdr:cNvPr id="259" name="Line 1398">
            <a:extLst>
              <a:ext uri="{FF2B5EF4-FFF2-40B4-BE49-F238E27FC236}">
                <a16:creationId xmlns:a16="http://schemas.microsoft.com/office/drawing/2014/main" id="{7D0FC566-DB3E-46FC-BEDD-A89004FBC1B6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" name="Text Box 1399">
            <a:extLst>
              <a:ext uri="{FF2B5EF4-FFF2-40B4-BE49-F238E27FC236}">
                <a16:creationId xmlns:a16="http://schemas.microsoft.com/office/drawing/2014/main" id="{83B5842B-0C3F-43D7-A7A3-CAC4AE73D9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355</xdr:row>
      <xdr:rowOff>142875</xdr:rowOff>
    </xdr:from>
    <xdr:to>
      <xdr:col>45</xdr:col>
      <xdr:colOff>171450</xdr:colOff>
      <xdr:row>358</xdr:row>
      <xdr:rowOff>95250</xdr:rowOff>
    </xdr:to>
    <xdr:grpSp>
      <xdr:nvGrpSpPr>
        <xdr:cNvPr id="261" name="Group 1400">
          <a:extLst>
            <a:ext uri="{FF2B5EF4-FFF2-40B4-BE49-F238E27FC236}">
              <a16:creationId xmlns:a16="http://schemas.microsoft.com/office/drawing/2014/main" id="{2041EFF8-7029-4D34-A08F-7136AD384C04}"/>
            </a:ext>
          </a:extLst>
        </xdr:cNvPr>
        <xdr:cNvGrpSpPr>
          <a:grpSpLocks/>
        </xdr:cNvGrpSpPr>
      </xdr:nvGrpSpPr>
      <xdr:grpSpPr bwMode="auto">
        <a:xfrm>
          <a:off x="9172575" y="59007375"/>
          <a:ext cx="762000" cy="476250"/>
          <a:chOff x="1148" y="209"/>
          <a:chExt cx="95" cy="52"/>
        </a:xfrm>
      </xdr:grpSpPr>
      <xdr:sp macro="" textlink="">
        <xdr:nvSpPr>
          <xdr:cNvPr id="262" name="Line 1401">
            <a:extLst>
              <a:ext uri="{FF2B5EF4-FFF2-40B4-BE49-F238E27FC236}">
                <a16:creationId xmlns:a16="http://schemas.microsoft.com/office/drawing/2014/main" id="{A0C31ED7-0996-4A75-8BD9-66B8656E20D7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" name="Text Box 1402">
            <a:extLst>
              <a:ext uri="{FF2B5EF4-FFF2-40B4-BE49-F238E27FC236}">
                <a16:creationId xmlns:a16="http://schemas.microsoft.com/office/drawing/2014/main" id="{A141D6F9-E4C3-4569-966A-242045A845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354</xdr:row>
      <xdr:rowOff>28575</xdr:rowOff>
    </xdr:from>
    <xdr:to>
      <xdr:col>62</xdr:col>
      <xdr:colOff>28575</xdr:colOff>
      <xdr:row>356</xdr:row>
      <xdr:rowOff>152400</xdr:rowOff>
    </xdr:to>
    <xdr:grpSp>
      <xdr:nvGrpSpPr>
        <xdr:cNvPr id="264" name="Group 1403">
          <a:extLst>
            <a:ext uri="{FF2B5EF4-FFF2-40B4-BE49-F238E27FC236}">
              <a16:creationId xmlns:a16="http://schemas.microsoft.com/office/drawing/2014/main" id="{07B47DAD-C1A9-4517-BF0B-B06ED331155B}"/>
            </a:ext>
          </a:extLst>
        </xdr:cNvPr>
        <xdr:cNvGrpSpPr>
          <a:grpSpLocks/>
        </xdr:cNvGrpSpPr>
      </xdr:nvGrpSpPr>
      <xdr:grpSpPr bwMode="auto">
        <a:xfrm>
          <a:off x="12630150" y="58734325"/>
          <a:ext cx="939800" cy="457200"/>
          <a:chOff x="986" y="117"/>
          <a:chExt cx="107" cy="50"/>
        </a:xfrm>
      </xdr:grpSpPr>
      <xdr:sp macro="" textlink="">
        <xdr:nvSpPr>
          <xdr:cNvPr id="265" name="Line 1404">
            <a:extLst>
              <a:ext uri="{FF2B5EF4-FFF2-40B4-BE49-F238E27FC236}">
                <a16:creationId xmlns:a16="http://schemas.microsoft.com/office/drawing/2014/main" id="{9904A8CE-1985-485D-A002-8247A0F1722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" name="Text Box 1405">
            <a:extLst>
              <a:ext uri="{FF2B5EF4-FFF2-40B4-BE49-F238E27FC236}">
                <a16:creationId xmlns:a16="http://schemas.microsoft.com/office/drawing/2014/main" id="{3B086FDF-9AA7-4970-BF3A-D81FB2CA95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355</xdr:row>
      <xdr:rowOff>142875</xdr:rowOff>
    </xdr:from>
    <xdr:to>
      <xdr:col>62</xdr:col>
      <xdr:colOff>171450</xdr:colOff>
      <xdr:row>358</xdr:row>
      <xdr:rowOff>95250</xdr:rowOff>
    </xdr:to>
    <xdr:grpSp>
      <xdr:nvGrpSpPr>
        <xdr:cNvPr id="267" name="Group 1406">
          <a:extLst>
            <a:ext uri="{FF2B5EF4-FFF2-40B4-BE49-F238E27FC236}">
              <a16:creationId xmlns:a16="http://schemas.microsoft.com/office/drawing/2014/main" id="{A6FAA918-CAE9-46C5-B28F-DFEF2A086A4C}"/>
            </a:ext>
          </a:extLst>
        </xdr:cNvPr>
        <xdr:cNvGrpSpPr>
          <a:grpSpLocks/>
        </xdr:cNvGrpSpPr>
      </xdr:nvGrpSpPr>
      <xdr:grpSpPr bwMode="auto">
        <a:xfrm>
          <a:off x="12950825" y="59007375"/>
          <a:ext cx="762000" cy="476250"/>
          <a:chOff x="1148" y="209"/>
          <a:chExt cx="95" cy="52"/>
        </a:xfrm>
      </xdr:grpSpPr>
      <xdr:sp macro="" textlink="">
        <xdr:nvSpPr>
          <xdr:cNvPr id="268" name="Line 1407">
            <a:extLst>
              <a:ext uri="{FF2B5EF4-FFF2-40B4-BE49-F238E27FC236}">
                <a16:creationId xmlns:a16="http://schemas.microsoft.com/office/drawing/2014/main" id="{2338204C-9BA1-45E1-87DE-3B4764B6AF68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" name="Text Box 1408">
            <a:extLst>
              <a:ext uri="{FF2B5EF4-FFF2-40B4-BE49-F238E27FC236}">
                <a16:creationId xmlns:a16="http://schemas.microsoft.com/office/drawing/2014/main" id="{293A666A-859F-41EA-8C87-204EB1D24B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 editAs="oneCell">
    <xdr:from>
      <xdr:col>64</xdr:col>
      <xdr:colOff>104775</xdr:colOff>
      <xdr:row>34</xdr:row>
      <xdr:rowOff>47625</xdr:rowOff>
    </xdr:from>
    <xdr:to>
      <xdr:col>65</xdr:col>
      <xdr:colOff>66675</xdr:colOff>
      <xdr:row>35</xdr:row>
      <xdr:rowOff>95250</xdr:rowOff>
    </xdr:to>
    <xdr:pic>
      <xdr:nvPicPr>
        <xdr:cNvPr id="270" name="Picture 1409" descr="red_01">
          <a:extLst>
            <a:ext uri="{FF2B5EF4-FFF2-40B4-BE49-F238E27FC236}">
              <a16:creationId xmlns:a16="http://schemas.microsoft.com/office/drawing/2014/main" id="{8F8DD32C-C831-4AE6-B2A3-70405FA6B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57943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36</xdr:row>
      <xdr:rowOff>47625</xdr:rowOff>
    </xdr:from>
    <xdr:to>
      <xdr:col>65</xdr:col>
      <xdr:colOff>66675</xdr:colOff>
      <xdr:row>37</xdr:row>
      <xdr:rowOff>95250</xdr:rowOff>
    </xdr:to>
    <xdr:pic>
      <xdr:nvPicPr>
        <xdr:cNvPr id="271" name="Picture 1410" descr="red_02">
          <a:extLst>
            <a:ext uri="{FF2B5EF4-FFF2-40B4-BE49-F238E27FC236}">
              <a16:creationId xmlns:a16="http://schemas.microsoft.com/office/drawing/2014/main" id="{56ACBBA7-A565-4ABF-B3E8-9E9FE123C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1499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38</xdr:row>
      <xdr:rowOff>47625</xdr:rowOff>
    </xdr:from>
    <xdr:to>
      <xdr:col>65</xdr:col>
      <xdr:colOff>66675</xdr:colOff>
      <xdr:row>39</xdr:row>
      <xdr:rowOff>95250</xdr:rowOff>
    </xdr:to>
    <xdr:pic>
      <xdr:nvPicPr>
        <xdr:cNvPr id="272" name="Picture 1411" descr="red_03">
          <a:extLst>
            <a:ext uri="{FF2B5EF4-FFF2-40B4-BE49-F238E27FC236}">
              <a16:creationId xmlns:a16="http://schemas.microsoft.com/office/drawing/2014/main" id="{F5A0252D-1FFC-45A1-8355-B0D5440F7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5055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40</xdr:row>
      <xdr:rowOff>47625</xdr:rowOff>
    </xdr:from>
    <xdr:to>
      <xdr:col>65</xdr:col>
      <xdr:colOff>66675</xdr:colOff>
      <xdr:row>41</xdr:row>
      <xdr:rowOff>95250</xdr:rowOff>
    </xdr:to>
    <xdr:pic>
      <xdr:nvPicPr>
        <xdr:cNvPr id="273" name="Picture 1412" descr="red_04">
          <a:extLst>
            <a:ext uri="{FF2B5EF4-FFF2-40B4-BE49-F238E27FC236}">
              <a16:creationId xmlns:a16="http://schemas.microsoft.com/office/drawing/2014/main" id="{0EDB6631-ABC8-4F8B-AAC3-B83581B8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8611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42</xdr:row>
      <xdr:rowOff>47625</xdr:rowOff>
    </xdr:from>
    <xdr:to>
      <xdr:col>65</xdr:col>
      <xdr:colOff>66675</xdr:colOff>
      <xdr:row>44</xdr:row>
      <xdr:rowOff>38100</xdr:rowOff>
    </xdr:to>
    <xdr:pic>
      <xdr:nvPicPr>
        <xdr:cNvPr id="274" name="Picture 1413" descr="red_05">
          <a:extLst>
            <a:ext uri="{FF2B5EF4-FFF2-40B4-BE49-F238E27FC236}">
              <a16:creationId xmlns:a16="http://schemas.microsoft.com/office/drawing/2014/main" id="{A507C318-9F9C-4EDD-AC29-495C213E5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72167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45</xdr:row>
      <xdr:rowOff>0</xdr:rowOff>
    </xdr:from>
    <xdr:to>
      <xdr:col>65</xdr:col>
      <xdr:colOff>66675</xdr:colOff>
      <xdr:row>46</xdr:row>
      <xdr:rowOff>47625</xdr:rowOff>
    </xdr:to>
    <xdr:pic>
      <xdr:nvPicPr>
        <xdr:cNvPr id="275" name="Picture 1414" descr="red_06">
          <a:extLst>
            <a:ext uri="{FF2B5EF4-FFF2-40B4-BE49-F238E27FC236}">
              <a16:creationId xmlns:a16="http://schemas.microsoft.com/office/drawing/2014/main" id="{A8148723-ED64-4D8A-A2CE-3C0B2CCB5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7575550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94</xdr:row>
      <xdr:rowOff>47625</xdr:rowOff>
    </xdr:from>
    <xdr:to>
      <xdr:col>65</xdr:col>
      <xdr:colOff>161925</xdr:colOff>
      <xdr:row>95</xdr:row>
      <xdr:rowOff>95251</xdr:rowOff>
    </xdr:to>
    <xdr:pic>
      <xdr:nvPicPr>
        <xdr:cNvPr id="276" name="Picture 1415" descr="red_07">
          <a:extLst>
            <a:ext uri="{FF2B5EF4-FFF2-40B4-BE49-F238E27FC236}">
              <a16:creationId xmlns:a16="http://schemas.microsoft.com/office/drawing/2014/main" id="{23E0066F-50AE-46FA-A982-06D4EC44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59226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96</xdr:row>
      <xdr:rowOff>47625</xdr:rowOff>
    </xdr:from>
    <xdr:to>
      <xdr:col>65</xdr:col>
      <xdr:colOff>161925</xdr:colOff>
      <xdr:row>97</xdr:row>
      <xdr:rowOff>95250</xdr:rowOff>
    </xdr:to>
    <xdr:pic>
      <xdr:nvPicPr>
        <xdr:cNvPr id="277" name="Picture 1416" descr="red_08">
          <a:extLst>
            <a:ext uri="{FF2B5EF4-FFF2-40B4-BE49-F238E27FC236}">
              <a16:creationId xmlns:a16="http://schemas.microsoft.com/office/drawing/2014/main" id="{87D18E96-FB0E-47F9-90AC-DD4C19ED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2782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98</xdr:row>
      <xdr:rowOff>47625</xdr:rowOff>
    </xdr:from>
    <xdr:to>
      <xdr:col>65</xdr:col>
      <xdr:colOff>161925</xdr:colOff>
      <xdr:row>99</xdr:row>
      <xdr:rowOff>95251</xdr:rowOff>
    </xdr:to>
    <xdr:pic>
      <xdr:nvPicPr>
        <xdr:cNvPr id="278" name="Picture 1417" descr="red_09">
          <a:extLst>
            <a:ext uri="{FF2B5EF4-FFF2-40B4-BE49-F238E27FC236}">
              <a16:creationId xmlns:a16="http://schemas.microsoft.com/office/drawing/2014/main" id="{AE5B4FB8-A1B4-4A71-B2BE-78E813780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6338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100</xdr:row>
      <xdr:rowOff>47625</xdr:rowOff>
    </xdr:from>
    <xdr:to>
      <xdr:col>65</xdr:col>
      <xdr:colOff>161925</xdr:colOff>
      <xdr:row>101</xdr:row>
      <xdr:rowOff>95250</xdr:rowOff>
    </xdr:to>
    <xdr:pic>
      <xdr:nvPicPr>
        <xdr:cNvPr id="279" name="Picture 1418" descr="red_10">
          <a:extLst>
            <a:ext uri="{FF2B5EF4-FFF2-40B4-BE49-F238E27FC236}">
              <a16:creationId xmlns:a16="http://schemas.microsoft.com/office/drawing/2014/main" id="{EA321B55-4829-47F8-95AC-C41984FF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9894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102</xdr:row>
      <xdr:rowOff>47625</xdr:rowOff>
    </xdr:from>
    <xdr:to>
      <xdr:col>65</xdr:col>
      <xdr:colOff>161925</xdr:colOff>
      <xdr:row>103</xdr:row>
      <xdr:rowOff>95251</xdr:rowOff>
    </xdr:to>
    <xdr:pic>
      <xdr:nvPicPr>
        <xdr:cNvPr id="280" name="Picture 1419" descr="red_11">
          <a:extLst>
            <a:ext uri="{FF2B5EF4-FFF2-40B4-BE49-F238E27FC236}">
              <a16:creationId xmlns:a16="http://schemas.microsoft.com/office/drawing/2014/main" id="{7D59FEBD-E172-45F5-8006-C1418EDF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73450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104</xdr:row>
      <xdr:rowOff>47625</xdr:rowOff>
    </xdr:from>
    <xdr:to>
      <xdr:col>65</xdr:col>
      <xdr:colOff>161925</xdr:colOff>
      <xdr:row>106</xdr:row>
      <xdr:rowOff>40481</xdr:rowOff>
    </xdr:to>
    <xdr:pic>
      <xdr:nvPicPr>
        <xdr:cNvPr id="281" name="Picture 1420" descr="red_12">
          <a:extLst>
            <a:ext uri="{FF2B5EF4-FFF2-40B4-BE49-F238E27FC236}">
              <a16:creationId xmlns:a16="http://schemas.microsoft.com/office/drawing/2014/main" id="{6959AD9C-E175-4E21-A1E5-9EABCA609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7700625"/>
          <a:ext cx="228600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157</xdr:row>
      <xdr:rowOff>47625</xdr:rowOff>
    </xdr:from>
    <xdr:to>
      <xdr:col>65</xdr:col>
      <xdr:colOff>238125</xdr:colOff>
      <xdr:row>158</xdr:row>
      <xdr:rowOff>95249</xdr:rowOff>
    </xdr:to>
    <xdr:pic>
      <xdr:nvPicPr>
        <xdr:cNvPr id="282" name="Picture 1421" descr="red_13">
          <a:extLst>
            <a:ext uri="{FF2B5EF4-FFF2-40B4-BE49-F238E27FC236}">
              <a16:creationId xmlns:a16="http://schemas.microsoft.com/office/drawing/2014/main" id="{51351102-797B-4350-B9C7-9EC4B3B4B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65842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159</xdr:row>
      <xdr:rowOff>47625</xdr:rowOff>
    </xdr:from>
    <xdr:to>
      <xdr:col>65</xdr:col>
      <xdr:colOff>238125</xdr:colOff>
      <xdr:row>160</xdr:row>
      <xdr:rowOff>95250</xdr:rowOff>
    </xdr:to>
    <xdr:pic>
      <xdr:nvPicPr>
        <xdr:cNvPr id="283" name="Picture 1422" descr="red_14">
          <a:extLst>
            <a:ext uri="{FF2B5EF4-FFF2-40B4-BE49-F238E27FC236}">
              <a16:creationId xmlns:a16="http://schemas.microsoft.com/office/drawing/2014/main" id="{031EFFAB-897E-4713-B3AC-9F7539199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69398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161</xdr:row>
      <xdr:rowOff>47625</xdr:rowOff>
    </xdr:from>
    <xdr:to>
      <xdr:col>65</xdr:col>
      <xdr:colOff>238125</xdr:colOff>
      <xdr:row>162</xdr:row>
      <xdr:rowOff>95249</xdr:rowOff>
    </xdr:to>
    <xdr:pic>
      <xdr:nvPicPr>
        <xdr:cNvPr id="284" name="Picture 1423" descr="red_15">
          <a:extLst>
            <a:ext uri="{FF2B5EF4-FFF2-40B4-BE49-F238E27FC236}">
              <a16:creationId xmlns:a16="http://schemas.microsoft.com/office/drawing/2014/main" id="{1A333F82-CC74-485E-B844-8E25378E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72954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163</xdr:row>
      <xdr:rowOff>47625</xdr:rowOff>
    </xdr:from>
    <xdr:to>
      <xdr:col>65</xdr:col>
      <xdr:colOff>238125</xdr:colOff>
      <xdr:row>164</xdr:row>
      <xdr:rowOff>95250</xdr:rowOff>
    </xdr:to>
    <xdr:pic>
      <xdr:nvPicPr>
        <xdr:cNvPr id="285" name="Picture 1424" descr="red_16">
          <a:extLst>
            <a:ext uri="{FF2B5EF4-FFF2-40B4-BE49-F238E27FC236}">
              <a16:creationId xmlns:a16="http://schemas.microsoft.com/office/drawing/2014/main" id="{1B9477CD-0FCC-4E16-8965-A847DDA6F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76510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165</xdr:row>
      <xdr:rowOff>47625</xdr:rowOff>
    </xdr:from>
    <xdr:to>
      <xdr:col>65</xdr:col>
      <xdr:colOff>238125</xdr:colOff>
      <xdr:row>166</xdr:row>
      <xdr:rowOff>95249</xdr:rowOff>
    </xdr:to>
    <xdr:pic>
      <xdr:nvPicPr>
        <xdr:cNvPr id="286" name="Picture 1425" descr="red_17">
          <a:extLst>
            <a:ext uri="{FF2B5EF4-FFF2-40B4-BE49-F238E27FC236}">
              <a16:creationId xmlns:a16="http://schemas.microsoft.com/office/drawing/2014/main" id="{31CF0542-8A1E-44D4-A5B7-7FD3CC63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80066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167</xdr:row>
      <xdr:rowOff>47625</xdr:rowOff>
    </xdr:from>
    <xdr:to>
      <xdr:col>65</xdr:col>
      <xdr:colOff>238125</xdr:colOff>
      <xdr:row>169</xdr:row>
      <xdr:rowOff>50006</xdr:rowOff>
    </xdr:to>
    <xdr:pic>
      <xdr:nvPicPr>
        <xdr:cNvPr id="287" name="Picture 1426" descr="red_18">
          <a:extLst>
            <a:ext uri="{FF2B5EF4-FFF2-40B4-BE49-F238E27FC236}">
              <a16:creationId xmlns:a16="http://schemas.microsoft.com/office/drawing/2014/main" id="{B321133F-57E3-4287-B07A-B0D0E8659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8362275"/>
          <a:ext cx="228600" cy="230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218</xdr:row>
      <xdr:rowOff>47625</xdr:rowOff>
    </xdr:from>
    <xdr:to>
      <xdr:col>65</xdr:col>
      <xdr:colOff>190500</xdr:colOff>
      <xdr:row>219</xdr:row>
      <xdr:rowOff>95251</xdr:rowOff>
    </xdr:to>
    <xdr:pic>
      <xdr:nvPicPr>
        <xdr:cNvPr id="288" name="Picture 1427" descr="red_19">
          <a:extLst>
            <a:ext uri="{FF2B5EF4-FFF2-40B4-BE49-F238E27FC236}">
              <a16:creationId xmlns:a16="http://schemas.microsoft.com/office/drawing/2014/main" id="{87EB8F92-162E-4A87-A59B-33CC2E3A3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68903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220</xdr:row>
      <xdr:rowOff>47625</xdr:rowOff>
    </xdr:from>
    <xdr:to>
      <xdr:col>65</xdr:col>
      <xdr:colOff>190500</xdr:colOff>
      <xdr:row>221</xdr:row>
      <xdr:rowOff>95250</xdr:rowOff>
    </xdr:to>
    <xdr:pic>
      <xdr:nvPicPr>
        <xdr:cNvPr id="289" name="Picture 1428" descr="red_20">
          <a:extLst>
            <a:ext uri="{FF2B5EF4-FFF2-40B4-BE49-F238E27FC236}">
              <a16:creationId xmlns:a16="http://schemas.microsoft.com/office/drawing/2014/main" id="{DACD317F-8F2C-4CEA-B279-C75B52FA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2459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222</xdr:row>
      <xdr:rowOff>47625</xdr:rowOff>
    </xdr:from>
    <xdr:to>
      <xdr:col>65</xdr:col>
      <xdr:colOff>190500</xdr:colOff>
      <xdr:row>223</xdr:row>
      <xdr:rowOff>95251</xdr:rowOff>
    </xdr:to>
    <xdr:pic>
      <xdr:nvPicPr>
        <xdr:cNvPr id="290" name="Picture 1429" descr="red_21">
          <a:extLst>
            <a:ext uri="{FF2B5EF4-FFF2-40B4-BE49-F238E27FC236}">
              <a16:creationId xmlns:a16="http://schemas.microsoft.com/office/drawing/2014/main" id="{E785359D-FA50-4B64-9FC9-8E712A296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6015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224</xdr:row>
      <xdr:rowOff>47625</xdr:rowOff>
    </xdr:from>
    <xdr:to>
      <xdr:col>65</xdr:col>
      <xdr:colOff>190500</xdr:colOff>
      <xdr:row>225</xdr:row>
      <xdr:rowOff>95250</xdr:rowOff>
    </xdr:to>
    <xdr:pic>
      <xdr:nvPicPr>
        <xdr:cNvPr id="291" name="Picture 1430" descr="red_22">
          <a:extLst>
            <a:ext uri="{FF2B5EF4-FFF2-40B4-BE49-F238E27FC236}">
              <a16:creationId xmlns:a16="http://schemas.microsoft.com/office/drawing/2014/main" id="{361745E4-5B4A-46A7-BE6C-687ED25CB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9571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226</xdr:row>
      <xdr:rowOff>47625</xdr:rowOff>
    </xdr:from>
    <xdr:to>
      <xdr:col>65</xdr:col>
      <xdr:colOff>190500</xdr:colOff>
      <xdr:row>227</xdr:row>
      <xdr:rowOff>95251</xdr:rowOff>
    </xdr:to>
    <xdr:pic>
      <xdr:nvPicPr>
        <xdr:cNvPr id="292" name="Picture 1431" descr="red_23">
          <a:extLst>
            <a:ext uri="{FF2B5EF4-FFF2-40B4-BE49-F238E27FC236}">
              <a16:creationId xmlns:a16="http://schemas.microsoft.com/office/drawing/2014/main" id="{003C4806-F13F-46ED-A022-42B99DAA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83127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228</xdr:row>
      <xdr:rowOff>47625</xdr:rowOff>
    </xdr:from>
    <xdr:to>
      <xdr:col>65</xdr:col>
      <xdr:colOff>190500</xdr:colOff>
      <xdr:row>230</xdr:row>
      <xdr:rowOff>40481</xdr:rowOff>
    </xdr:to>
    <xdr:pic>
      <xdr:nvPicPr>
        <xdr:cNvPr id="293" name="Picture 1432" descr="red_24">
          <a:extLst>
            <a:ext uri="{FF2B5EF4-FFF2-40B4-BE49-F238E27FC236}">
              <a16:creationId xmlns:a16="http://schemas.microsoft.com/office/drawing/2014/main" id="{FB16D72B-EE76-411D-AC44-42548753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8668325"/>
          <a:ext cx="228600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281</xdr:row>
      <xdr:rowOff>47625</xdr:rowOff>
    </xdr:from>
    <xdr:to>
      <xdr:col>65</xdr:col>
      <xdr:colOff>152400</xdr:colOff>
      <xdr:row>282</xdr:row>
      <xdr:rowOff>95249</xdr:rowOff>
    </xdr:to>
    <xdr:pic>
      <xdr:nvPicPr>
        <xdr:cNvPr id="294" name="Picture 1433" descr="red_25">
          <a:extLst>
            <a:ext uri="{FF2B5EF4-FFF2-40B4-BE49-F238E27FC236}">
              <a16:creationId xmlns:a16="http://schemas.microsoft.com/office/drawing/2014/main" id="{B5540725-D108-46D5-AAE6-9F57F3C3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75519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283</xdr:row>
      <xdr:rowOff>47625</xdr:rowOff>
    </xdr:from>
    <xdr:to>
      <xdr:col>65</xdr:col>
      <xdr:colOff>152400</xdr:colOff>
      <xdr:row>284</xdr:row>
      <xdr:rowOff>95250</xdr:rowOff>
    </xdr:to>
    <xdr:pic>
      <xdr:nvPicPr>
        <xdr:cNvPr id="295" name="Picture 1434" descr="red_26">
          <a:extLst>
            <a:ext uri="{FF2B5EF4-FFF2-40B4-BE49-F238E27FC236}">
              <a16:creationId xmlns:a16="http://schemas.microsoft.com/office/drawing/2014/main" id="{91D23700-1683-4D8E-9E90-23345FFC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79075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285</xdr:row>
      <xdr:rowOff>47625</xdr:rowOff>
    </xdr:from>
    <xdr:to>
      <xdr:col>65</xdr:col>
      <xdr:colOff>152400</xdr:colOff>
      <xdr:row>286</xdr:row>
      <xdr:rowOff>95249</xdr:rowOff>
    </xdr:to>
    <xdr:pic>
      <xdr:nvPicPr>
        <xdr:cNvPr id="296" name="Picture 1435" descr="red_27">
          <a:extLst>
            <a:ext uri="{FF2B5EF4-FFF2-40B4-BE49-F238E27FC236}">
              <a16:creationId xmlns:a16="http://schemas.microsoft.com/office/drawing/2014/main" id="{5410C92F-2322-4372-85B3-8B6B21BD1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2631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287</xdr:row>
      <xdr:rowOff>47625</xdr:rowOff>
    </xdr:from>
    <xdr:to>
      <xdr:col>65</xdr:col>
      <xdr:colOff>152400</xdr:colOff>
      <xdr:row>288</xdr:row>
      <xdr:rowOff>95250</xdr:rowOff>
    </xdr:to>
    <xdr:pic>
      <xdr:nvPicPr>
        <xdr:cNvPr id="297" name="Picture 1436" descr="red_28">
          <a:extLst>
            <a:ext uri="{FF2B5EF4-FFF2-40B4-BE49-F238E27FC236}">
              <a16:creationId xmlns:a16="http://schemas.microsoft.com/office/drawing/2014/main" id="{ECD2C2B4-A7E1-43FE-A845-32EDA4BB5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6187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289</xdr:row>
      <xdr:rowOff>47625</xdr:rowOff>
    </xdr:from>
    <xdr:to>
      <xdr:col>65</xdr:col>
      <xdr:colOff>152400</xdr:colOff>
      <xdr:row>290</xdr:row>
      <xdr:rowOff>95249</xdr:rowOff>
    </xdr:to>
    <xdr:pic>
      <xdr:nvPicPr>
        <xdr:cNvPr id="298" name="Picture 1437" descr="red_29">
          <a:extLst>
            <a:ext uri="{FF2B5EF4-FFF2-40B4-BE49-F238E27FC236}">
              <a16:creationId xmlns:a16="http://schemas.microsoft.com/office/drawing/2014/main" id="{71A786F3-83CA-47EC-900D-F250DDFE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9743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291</xdr:row>
      <xdr:rowOff>47625</xdr:rowOff>
    </xdr:from>
    <xdr:to>
      <xdr:col>65</xdr:col>
      <xdr:colOff>152400</xdr:colOff>
      <xdr:row>293</xdr:row>
      <xdr:rowOff>50006</xdr:rowOff>
    </xdr:to>
    <xdr:pic>
      <xdr:nvPicPr>
        <xdr:cNvPr id="299" name="Picture 1438" descr="red_30">
          <a:extLst>
            <a:ext uri="{FF2B5EF4-FFF2-40B4-BE49-F238E27FC236}">
              <a16:creationId xmlns:a16="http://schemas.microsoft.com/office/drawing/2014/main" id="{A2983C7A-FBDD-461B-B08F-CB6C9FC67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9329975"/>
          <a:ext cx="228600" cy="230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341</xdr:row>
      <xdr:rowOff>47625</xdr:rowOff>
    </xdr:from>
    <xdr:to>
      <xdr:col>65</xdr:col>
      <xdr:colOff>257175</xdr:colOff>
      <xdr:row>342</xdr:row>
      <xdr:rowOff>95249</xdr:rowOff>
    </xdr:to>
    <xdr:pic>
      <xdr:nvPicPr>
        <xdr:cNvPr id="300" name="Picture 1439" descr="red_31">
          <a:extLst>
            <a:ext uri="{FF2B5EF4-FFF2-40B4-BE49-F238E27FC236}">
              <a16:creationId xmlns:a16="http://schemas.microsoft.com/office/drawing/2014/main" id="{E74E270A-7ED5-475F-A28E-5275C40CC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76802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343</xdr:row>
      <xdr:rowOff>47625</xdr:rowOff>
    </xdr:from>
    <xdr:to>
      <xdr:col>65</xdr:col>
      <xdr:colOff>257175</xdr:colOff>
      <xdr:row>344</xdr:row>
      <xdr:rowOff>95250</xdr:rowOff>
    </xdr:to>
    <xdr:pic>
      <xdr:nvPicPr>
        <xdr:cNvPr id="301" name="Picture 1440" descr="red_32">
          <a:extLst>
            <a:ext uri="{FF2B5EF4-FFF2-40B4-BE49-F238E27FC236}">
              <a16:creationId xmlns:a16="http://schemas.microsoft.com/office/drawing/2014/main" id="{30AEE2E5-6EDF-48EB-BD4A-F5C1CFAA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0358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345</xdr:row>
      <xdr:rowOff>47625</xdr:rowOff>
    </xdr:from>
    <xdr:to>
      <xdr:col>65</xdr:col>
      <xdr:colOff>257175</xdr:colOff>
      <xdr:row>346</xdr:row>
      <xdr:rowOff>95249</xdr:rowOff>
    </xdr:to>
    <xdr:pic>
      <xdr:nvPicPr>
        <xdr:cNvPr id="302" name="Picture 1441" descr="red_33">
          <a:extLst>
            <a:ext uri="{FF2B5EF4-FFF2-40B4-BE49-F238E27FC236}">
              <a16:creationId xmlns:a16="http://schemas.microsoft.com/office/drawing/2014/main" id="{345601D3-295A-465E-914D-4BBB4E94F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3914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347</xdr:row>
      <xdr:rowOff>47625</xdr:rowOff>
    </xdr:from>
    <xdr:to>
      <xdr:col>65</xdr:col>
      <xdr:colOff>257175</xdr:colOff>
      <xdr:row>348</xdr:row>
      <xdr:rowOff>95250</xdr:rowOff>
    </xdr:to>
    <xdr:pic>
      <xdr:nvPicPr>
        <xdr:cNvPr id="303" name="Picture 1442" descr="red_34">
          <a:extLst>
            <a:ext uri="{FF2B5EF4-FFF2-40B4-BE49-F238E27FC236}">
              <a16:creationId xmlns:a16="http://schemas.microsoft.com/office/drawing/2014/main" id="{AB90919D-6B0E-4621-AD37-E8EE2F5B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7470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349</xdr:row>
      <xdr:rowOff>47625</xdr:rowOff>
    </xdr:from>
    <xdr:to>
      <xdr:col>65</xdr:col>
      <xdr:colOff>257175</xdr:colOff>
      <xdr:row>350</xdr:row>
      <xdr:rowOff>95249</xdr:rowOff>
    </xdr:to>
    <xdr:pic>
      <xdr:nvPicPr>
        <xdr:cNvPr id="304" name="Picture 1443" descr="red_35">
          <a:extLst>
            <a:ext uri="{FF2B5EF4-FFF2-40B4-BE49-F238E27FC236}">
              <a16:creationId xmlns:a16="http://schemas.microsoft.com/office/drawing/2014/main" id="{3008D1B4-A9F6-46E8-B88B-1F71C5772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91026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351</xdr:row>
      <xdr:rowOff>47625</xdr:rowOff>
    </xdr:from>
    <xdr:to>
      <xdr:col>65</xdr:col>
      <xdr:colOff>257175</xdr:colOff>
      <xdr:row>352</xdr:row>
      <xdr:rowOff>95250</xdr:rowOff>
    </xdr:to>
    <xdr:pic>
      <xdr:nvPicPr>
        <xdr:cNvPr id="305" name="Picture 1444" descr="red_36">
          <a:extLst>
            <a:ext uri="{FF2B5EF4-FFF2-40B4-BE49-F238E27FC236}">
              <a16:creationId xmlns:a16="http://schemas.microsoft.com/office/drawing/2014/main" id="{F35FFD93-BA8D-41E2-A41F-A7F304CA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94582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119063</xdr:colOff>
      <xdr:row>36</xdr:row>
      <xdr:rowOff>95250</xdr:rowOff>
    </xdr:from>
    <xdr:to>
      <xdr:col>17</xdr:col>
      <xdr:colOff>130970</xdr:colOff>
      <xdr:row>47</xdr:row>
      <xdr:rowOff>71438</xdr:rowOff>
    </xdr:to>
    <xdr:sp macro="" textlink="">
      <xdr:nvSpPr>
        <xdr:cNvPr id="306" name="フリーフォーム: 図形 305">
          <a:extLst>
            <a:ext uri="{FF2B5EF4-FFF2-40B4-BE49-F238E27FC236}">
              <a16:creationId xmlns:a16="http://schemas.microsoft.com/office/drawing/2014/main" id="{F82C3656-95BB-4963-9F2D-FEAE9ED37973}"/>
            </a:ext>
          </a:extLst>
        </xdr:cNvPr>
        <xdr:cNvSpPr/>
      </xdr:nvSpPr>
      <xdr:spPr bwMode="auto">
        <a:xfrm>
          <a:off x="2316163" y="6197600"/>
          <a:ext cx="1612107" cy="1804988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67</xdr:col>
      <xdr:colOff>59530</xdr:colOff>
      <xdr:row>39</xdr:row>
      <xdr:rowOff>11906</xdr:rowOff>
    </xdr:from>
    <xdr:to>
      <xdr:col>84</xdr:col>
      <xdr:colOff>156324</xdr:colOff>
      <xdr:row>57</xdr:row>
      <xdr:rowOff>145018</xdr:rowOff>
    </xdr:to>
    <xdr:grpSp>
      <xdr:nvGrpSpPr>
        <xdr:cNvPr id="307" name="グループ化 306">
          <a:extLst>
            <a:ext uri="{FF2B5EF4-FFF2-40B4-BE49-F238E27FC236}">
              <a16:creationId xmlns:a16="http://schemas.microsoft.com/office/drawing/2014/main" id="{8FF3EF9B-F349-4D2E-AF76-1162EC28409C}"/>
            </a:ext>
          </a:extLst>
        </xdr:cNvPr>
        <xdr:cNvGrpSpPr/>
      </xdr:nvGrpSpPr>
      <xdr:grpSpPr>
        <a:xfrm>
          <a:off x="14775655" y="6536531"/>
          <a:ext cx="4684669" cy="3133487"/>
          <a:chOff x="10420350" y="657225"/>
          <a:chExt cx="4549731" cy="3216831"/>
        </a:xfrm>
      </xdr:grpSpPr>
      <xdr:pic>
        <xdr:nvPicPr>
          <xdr:cNvPr id="308" name="図 307">
            <a:extLst>
              <a:ext uri="{FF2B5EF4-FFF2-40B4-BE49-F238E27FC236}">
                <a16:creationId xmlns:a16="http://schemas.microsoft.com/office/drawing/2014/main" id="{E59A3C3F-782D-4763-ACBF-179E3AFB41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10420350" y="657225"/>
            <a:ext cx="4549731" cy="3216831"/>
          </a:xfrm>
          <a:prstGeom prst="rect">
            <a:avLst/>
          </a:prstGeom>
          <a:ln w="2857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</a:ln>
        </xdr:spPr>
      </xdr:pic>
      <xdr:sp macro="" textlink="">
        <xdr:nvSpPr>
          <xdr:cNvPr id="309" name="テキスト ボックス 308">
            <a:extLst>
              <a:ext uri="{FF2B5EF4-FFF2-40B4-BE49-F238E27FC236}">
                <a16:creationId xmlns:a16="http://schemas.microsoft.com/office/drawing/2014/main" id="{B852ABDB-19ED-42B2-A539-F454CDD1A16C}"/>
              </a:ext>
            </a:extLst>
          </xdr:cNvPr>
          <xdr:cNvSpPr txBox="1"/>
        </xdr:nvSpPr>
        <xdr:spPr>
          <a:xfrm>
            <a:off x="10582275" y="2438400"/>
            <a:ext cx="2294474" cy="825867"/>
          </a:xfrm>
          <a:prstGeom prst="rect">
            <a:avLst/>
          </a:prstGeom>
          <a:solidFill>
            <a:schemeClr val="bg1"/>
          </a:solidFill>
          <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新しい</a:t>
            </a:r>
            <a:r>
              <a:rPr kumimoji="1" lang="en-US" altLang="ja-JP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Office</a:t>
            </a:r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では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「頂点の追加」をしてから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図形を変形させると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片方が「曲線」になることを防げます</a:t>
            </a:r>
          </a:p>
        </xdr:txBody>
      </xdr:sp>
    </xdr:grpSp>
    <xdr:clientData/>
  </xdr:twoCellAnchor>
  <xdr:twoCellAnchor>
    <xdr:from>
      <xdr:col>1</xdr:col>
      <xdr:colOff>180976</xdr:colOff>
      <xdr:row>34</xdr:row>
      <xdr:rowOff>154781</xdr:rowOff>
    </xdr:from>
    <xdr:to>
      <xdr:col>3</xdr:col>
      <xdr:colOff>133350</xdr:colOff>
      <xdr:row>36</xdr:row>
      <xdr:rowOff>109538</xdr:rowOff>
    </xdr:to>
    <xdr:sp macro="" textlink="">
      <xdr:nvSpPr>
        <xdr:cNvPr id="310" name="Line 811">
          <a:extLst>
            <a:ext uri="{FF2B5EF4-FFF2-40B4-BE49-F238E27FC236}">
              <a16:creationId xmlns:a16="http://schemas.microsoft.com/office/drawing/2014/main" id="{7FC4FC3D-21CF-4BFF-AD95-545F51572A9F}"/>
            </a:ext>
          </a:extLst>
        </xdr:cNvPr>
        <xdr:cNvSpPr>
          <a:spLocks noChangeShapeType="1"/>
        </xdr:cNvSpPr>
      </xdr:nvSpPr>
      <xdr:spPr bwMode="auto">
        <a:xfrm flipV="1">
          <a:off x="320676" y="5901531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38</xdr:row>
      <xdr:rowOff>154781</xdr:rowOff>
    </xdr:from>
    <xdr:to>
      <xdr:col>3</xdr:col>
      <xdr:colOff>133350</xdr:colOff>
      <xdr:row>40</xdr:row>
      <xdr:rowOff>109538</xdr:rowOff>
    </xdr:to>
    <xdr:sp macro="" textlink="">
      <xdr:nvSpPr>
        <xdr:cNvPr id="311" name="Line 812">
          <a:extLst>
            <a:ext uri="{FF2B5EF4-FFF2-40B4-BE49-F238E27FC236}">
              <a16:creationId xmlns:a16="http://schemas.microsoft.com/office/drawing/2014/main" id="{ACDF29CE-A90B-4E21-AAED-BBF373D6D67A}"/>
            </a:ext>
          </a:extLst>
        </xdr:cNvPr>
        <xdr:cNvSpPr>
          <a:spLocks noChangeShapeType="1"/>
        </xdr:cNvSpPr>
      </xdr:nvSpPr>
      <xdr:spPr bwMode="auto">
        <a:xfrm flipV="1">
          <a:off x="320676" y="6612731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36</xdr:row>
      <xdr:rowOff>154781</xdr:rowOff>
    </xdr:from>
    <xdr:to>
      <xdr:col>3</xdr:col>
      <xdr:colOff>133350</xdr:colOff>
      <xdr:row>38</xdr:row>
      <xdr:rowOff>109537</xdr:rowOff>
    </xdr:to>
    <xdr:sp macro="" textlink="">
      <xdr:nvSpPr>
        <xdr:cNvPr id="312" name="Line 814">
          <a:extLst>
            <a:ext uri="{FF2B5EF4-FFF2-40B4-BE49-F238E27FC236}">
              <a16:creationId xmlns:a16="http://schemas.microsoft.com/office/drawing/2014/main" id="{1620203A-78A5-47E6-8A25-85D542C479F0}"/>
            </a:ext>
          </a:extLst>
        </xdr:cNvPr>
        <xdr:cNvSpPr>
          <a:spLocks noChangeShapeType="1"/>
        </xdr:cNvSpPr>
      </xdr:nvSpPr>
      <xdr:spPr bwMode="auto">
        <a:xfrm flipV="1">
          <a:off x="320676" y="6257131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40</xdr:row>
      <xdr:rowOff>154781</xdr:rowOff>
    </xdr:from>
    <xdr:to>
      <xdr:col>3</xdr:col>
      <xdr:colOff>133350</xdr:colOff>
      <xdr:row>42</xdr:row>
      <xdr:rowOff>109537</xdr:rowOff>
    </xdr:to>
    <xdr:sp macro="" textlink="">
      <xdr:nvSpPr>
        <xdr:cNvPr id="313" name="Line 815">
          <a:extLst>
            <a:ext uri="{FF2B5EF4-FFF2-40B4-BE49-F238E27FC236}">
              <a16:creationId xmlns:a16="http://schemas.microsoft.com/office/drawing/2014/main" id="{2E66E879-4DEE-4CEB-A715-37C28C8D1286}"/>
            </a:ext>
          </a:extLst>
        </xdr:cNvPr>
        <xdr:cNvSpPr>
          <a:spLocks noChangeShapeType="1"/>
        </xdr:cNvSpPr>
      </xdr:nvSpPr>
      <xdr:spPr bwMode="auto">
        <a:xfrm flipV="1">
          <a:off x="320676" y="6968331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42</xdr:row>
      <xdr:rowOff>154781</xdr:rowOff>
    </xdr:from>
    <xdr:to>
      <xdr:col>3</xdr:col>
      <xdr:colOff>133350</xdr:colOff>
      <xdr:row>45</xdr:row>
      <xdr:rowOff>61913</xdr:rowOff>
    </xdr:to>
    <xdr:sp macro="" textlink="">
      <xdr:nvSpPr>
        <xdr:cNvPr id="314" name="Line 816">
          <a:extLst>
            <a:ext uri="{FF2B5EF4-FFF2-40B4-BE49-F238E27FC236}">
              <a16:creationId xmlns:a16="http://schemas.microsoft.com/office/drawing/2014/main" id="{C4CE28AD-3B67-450F-A967-09D844D1BEFC}"/>
            </a:ext>
          </a:extLst>
        </xdr:cNvPr>
        <xdr:cNvSpPr>
          <a:spLocks noChangeShapeType="1"/>
        </xdr:cNvSpPr>
      </xdr:nvSpPr>
      <xdr:spPr bwMode="auto">
        <a:xfrm flipV="1">
          <a:off x="320676" y="7323931"/>
          <a:ext cx="409574" cy="313532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32</xdr:row>
      <xdr:rowOff>154781</xdr:rowOff>
    </xdr:from>
    <xdr:to>
      <xdr:col>3</xdr:col>
      <xdr:colOff>133350</xdr:colOff>
      <xdr:row>34</xdr:row>
      <xdr:rowOff>109537</xdr:rowOff>
    </xdr:to>
    <xdr:sp macro="" textlink="">
      <xdr:nvSpPr>
        <xdr:cNvPr id="315" name="Line 818">
          <a:extLst>
            <a:ext uri="{FF2B5EF4-FFF2-40B4-BE49-F238E27FC236}">
              <a16:creationId xmlns:a16="http://schemas.microsoft.com/office/drawing/2014/main" id="{BA93E11D-B009-40C5-A341-FD163ACD8DCB}"/>
            </a:ext>
          </a:extLst>
        </xdr:cNvPr>
        <xdr:cNvSpPr>
          <a:spLocks noChangeShapeType="1"/>
        </xdr:cNvSpPr>
      </xdr:nvSpPr>
      <xdr:spPr bwMode="auto">
        <a:xfrm flipV="1">
          <a:off x="320676" y="5545931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66676</xdr:colOff>
      <xdr:row>33</xdr:row>
      <xdr:rowOff>173831</xdr:rowOff>
    </xdr:from>
    <xdr:to>
      <xdr:col>2</xdr:col>
      <xdr:colOff>66675</xdr:colOff>
      <xdr:row>35</xdr:row>
      <xdr:rowOff>42863</xdr:rowOff>
    </xdr:to>
    <xdr:pic>
      <xdr:nvPicPr>
        <xdr:cNvPr id="316" name="Picture 849" descr="red_01">
          <a:extLst>
            <a:ext uri="{FF2B5EF4-FFF2-40B4-BE49-F238E27FC236}">
              <a16:creationId xmlns:a16="http://schemas.microsoft.com/office/drawing/2014/main" id="{10A19952-244B-458A-B659-874656C68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42781"/>
          <a:ext cx="228599" cy="22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35</xdr:row>
      <xdr:rowOff>173832</xdr:rowOff>
    </xdr:from>
    <xdr:to>
      <xdr:col>2</xdr:col>
      <xdr:colOff>66675</xdr:colOff>
      <xdr:row>37</xdr:row>
      <xdr:rowOff>42862</xdr:rowOff>
    </xdr:to>
    <xdr:pic>
      <xdr:nvPicPr>
        <xdr:cNvPr id="317" name="Picture 850" descr="red_02">
          <a:extLst>
            <a:ext uri="{FF2B5EF4-FFF2-40B4-BE49-F238E27FC236}">
              <a16:creationId xmlns:a16="http://schemas.microsoft.com/office/drawing/2014/main" id="{A3AC5713-98ED-44B4-918E-3FA2FE62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6098382"/>
          <a:ext cx="228599" cy="22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37</xdr:row>
      <xdr:rowOff>173831</xdr:rowOff>
    </xdr:from>
    <xdr:to>
      <xdr:col>2</xdr:col>
      <xdr:colOff>66675</xdr:colOff>
      <xdr:row>39</xdr:row>
      <xdr:rowOff>42863</xdr:rowOff>
    </xdr:to>
    <xdr:pic>
      <xdr:nvPicPr>
        <xdr:cNvPr id="318" name="Picture 851" descr="red_03">
          <a:extLst>
            <a:ext uri="{FF2B5EF4-FFF2-40B4-BE49-F238E27FC236}">
              <a16:creationId xmlns:a16="http://schemas.microsoft.com/office/drawing/2014/main" id="{73B05AB5-224E-431C-8B99-61E4EB12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6453981"/>
          <a:ext cx="228599" cy="22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39</xdr:row>
      <xdr:rowOff>173832</xdr:rowOff>
    </xdr:from>
    <xdr:to>
      <xdr:col>2</xdr:col>
      <xdr:colOff>66675</xdr:colOff>
      <xdr:row>41</xdr:row>
      <xdr:rowOff>42862</xdr:rowOff>
    </xdr:to>
    <xdr:pic>
      <xdr:nvPicPr>
        <xdr:cNvPr id="319" name="Picture 852" descr="red_04">
          <a:extLst>
            <a:ext uri="{FF2B5EF4-FFF2-40B4-BE49-F238E27FC236}">
              <a16:creationId xmlns:a16="http://schemas.microsoft.com/office/drawing/2014/main" id="{72B0D39B-CEA1-407D-9A9A-5308C6C6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6809582"/>
          <a:ext cx="228599" cy="22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41</xdr:row>
      <xdr:rowOff>173831</xdr:rowOff>
    </xdr:from>
    <xdr:to>
      <xdr:col>2</xdr:col>
      <xdr:colOff>66675</xdr:colOff>
      <xdr:row>43</xdr:row>
      <xdr:rowOff>45244</xdr:rowOff>
    </xdr:to>
    <xdr:pic>
      <xdr:nvPicPr>
        <xdr:cNvPr id="320" name="Picture 853" descr="red_05">
          <a:extLst>
            <a:ext uri="{FF2B5EF4-FFF2-40B4-BE49-F238E27FC236}">
              <a16:creationId xmlns:a16="http://schemas.microsoft.com/office/drawing/2014/main" id="{0CE7CFDD-099D-43C2-B76C-79F2AD02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7165181"/>
          <a:ext cx="228599" cy="227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44</xdr:row>
      <xdr:rowOff>119062</xdr:rowOff>
    </xdr:from>
    <xdr:to>
      <xdr:col>2</xdr:col>
      <xdr:colOff>66675</xdr:colOff>
      <xdr:row>45</xdr:row>
      <xdr:rowOff>173831</xdr:rowOff>
    </xdr:to>
    <xdr:pic>
      <xdr:nvPicPr>
        <xdr:cNvPr id="321" name="Picture 854" descr="red_06">
          <a:extLst>
            <a:ext uri="{FF2B5EF4-FFF2-40B4-BE49-F238E27FC236}">
              <a16:creationId xmlns:a16="http://schemas.microsoft.com/office/drawing/2014/main" id="{448FEEEA-0F3B-477E-89B0-41A9AD10E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7523162"/>
          <a:ext cx="228599" cy="22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176214</xdr:colOff>
      <xdr:row>94</xdr:row>
      <xdr:rowOff>150018</xdr:rowOff>
    </xdr:from>
    <xdr:to>
      <xdr:col>3</xdr:col>
      <xdr:colOff>128588</xdr:colOff>
      <xdr:row>96</xdr:row>
      <xdr:rowOff>104775</xdr:rowOff>
    </xdr:to>
    <xdr:sp macro="" textlink="">
      <xdr:nvSpPr>
        <xdr:cNvPr id="322" name="Line 1133">
          <a:extLst>
            <a:ext uri="{FF2B5EF4-FFF2-40B4-BE49-F238E27FC236}">
              <a16:creationId xmlns:a16="http://schemas.microsoft.com/office/drawing/2014/main" id="{AB65B55F-32B6-47E2-A2DB-4D502F16CC3D}"/>
            </a:ext>
          </a:extLst>
        </xdr:cNvPr>
        <xdr:cNvSpPr>
          <a:spLocks noChangeShapeType="1"/>
        </xdr:cNvSpPr>
      </xdr:nvSpPr>
      <xdr:spPr bwMode="auto">
        <a:xfrm flipV="1">
          <a:off x="315914" y="16025018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176214</xdr:colOff>
      <xdr:row>96</xdr:row>
      <xdr:rowOff>150019</xdr:rowOff>
    </xdr:from>
    <xdr:to>
      <xdr:col>3</xdr:col>
      <xdr:colOff>128588</xdr:colOff>
      <xdr:row>98</xdr:row>
      <xdr:rowOff>104775</xdr:rowOff>
    </xdr:to>
    <xdr:sp macro="" textlink="">
      <xdr:nvSpPr>
        <xdr:cNvPr id="323" name="Line 1134">
          <a:extLst>
            <a:ext uri="{FF2B5EF4-FFF2-40B4-BE49-F238E27FC236}">
              <a16:creationId xmlns:a16="http://schemas.microsoft.com/office/drawing/2014/main" id="{4B08AE8B-BE4D-41EB-A6B5-D2D261AAA69D}"/>
            </a:ext>
          </a:extLst>
        </xdr:cNvPr>
        <xdr:cNvSpPr>
          <a:spLocks noChangeShapeType="1"/>
        </xdr:cNvSpPr>
      </xdr:nvSpPr>
      <xdr:spPr bwMode="auto">
        <a:xfrm flipV="1">
          <a:off x="315914" y="16380619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176214</xdr:colOff>
      <xdr:row>98</xdr:row>
      <xdr:rowOff>150018</xdr:rowOff>
    </xdr:from>
    <xdr:to>
      <xdr:col>3</xdr:col>
      <xdr:colOff>128588</xdr:colOff>
      <xdr:row>100</xdr:row>
      <xdr:rowOff>104775</xdr:rowOff>
    </xdr:to>
    <xdr:sp macro="" textlink="">
      <xdr:nvSpPr>
        <xdr:cNvPr id="324" name="Line 1135">
          <a:extLst>
            <a:ext uri="{FF2B5EF4-FFF2-40B4-BE49-F238E27FC236}">
              <a16:creationId xmlns:a16="http://schemas.microsoft.com/office/drawing/2014/main" id="{59D62C2F-B9BD-449D-8CE2-9C879452208D}"/>
            </a:ext>
          </a:extLst>
        </xdr:cNvPr>
        <xdr:cNvSpPr>
          <a:spLocks noChangeShapeType="1"/>
        </xdr:cNvSpPr>
      </xdr:nvSpPr>
      <xdr:spPr bwMode="auto">
        <a:xfrm flipV="1">
          <a:off x="315914" y="16736218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176214</xdr:colOff>
      <xdr:row>100</xdr:row>
      <xdr:rowOff>150019</xdr:rowOff>
    </xdr:from>
    <xdr:to>
      <xdr:col>3</xdr:col>
      <xdr:colOff>128588</xdr:colOff>
      <xdr:row>102</xdr:row>
      <xdr:rowOff>104775</xdr:rowOff>
    </xdr:to>
    <xdr:sp macro="" textlink="">
      <xdr:nvSpPr>
        <xdr:cNvPr id="325" name="Line 1136">
          <a:extLst>
            <a:ext uri="{FF2B5EF4-FFF2-40B4-BE49-F238E27FC236}">
              <a16:creationId xmlns:a16="http://schemas.microsoft.com/office/drawing/2014/main" id="{8319BC65-D85A-490E-999F-7BBC21F1D262}"/>
            </a:ext>
          </a:extLst>
        </xdr:cNvPr>
        <xdr:cNvSpPr>
          <a:spLocks noChangeShapeType="1"/>
        </xdr:cNvSpPr>
      </xdr:nvSpPr>
      <xdr:spPr bwMode="auto">
        <a:xfrm flipV="1">
          <a:off x="315914" y="17091819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176214</xdr:colOff>
      <xdr:row>102</xdr:row>
      <xdr:rowOff>150018</xdr:rowOff>
    </xdr:from>
    <xdr:to>
      <xdr:col>3</xdr:col>
      <xdr:colOff>128588</xdr:colOff>
      <xdr:row>104</xdr:row>
      <xdr:rowOff>109538</xdr:rowOff>
    </xdr:to>
    <xdr:sp macro="" textlink="">
      <xdr:nvSpPr>
        <xdr:cNvPr id="326" name="Line 1137">
          <a:extLst>
            <a:ext uri="{FF2B5EF4-FFF2-40B4-BE49-F238E27FC236}">
              <a16:creationId xmlns:a16="http://schemas.microsoft.com/office/drawing/2014/main" id="{7DA3DB26-4601-4573-A6E0-BA91490D82F2}"/>
            </a:ext>
          </a:extLst>
        </xdr:cNvPr>
        <xdr:cNvSpPr>
          <a:spLocks noChangeShapeType="1"/>
        </xdr:cNvSpPr>
      </xdr:nvSpPr>
      <xdr:spPr bwMode="auto">
        <a:xfrm flipV="1">
          <a:off x="315914" y="17447418"/>
          <a:ext cx="409574" cy="3151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176214</xdr:colOff>
      <xdr:row>104</xdr:row>
      <xdr:rowOff>157163</xdr:rowOff>
    </xdr:from>
    <xdr:to>
      <xdr:col>3</xdr:col>
      <xdr:colOff>128588</xdr:colOff>
      <xdr:row>107</xdr:row>
      <xdr:rowOff>59531</xdr:rowOff>
    </xdr:to>
    <xdr:sp macro="" textlink="">
      <xdr:nvSpPr>
        <xdr:cNvPr id="327" name="Line 1138">
          <a:extLst>
            <a:ext uri="{FF2B5EF4-FFF2-40B4-BE49-F238E27FC236}">
              <a16:creationId xmlns:a16="http://schemas.microsoft.com/office/drawing/2014/main" id="{7DEB47E5-5A8F-484D-B394-65B0710D9D82}"/>
            </a:ext>
          </a:extLst>
        </xdr:cNvPr>
        <xdr:cNvSpPr>
          <a:spLocks noChangeShapeType="1"/>
        </xdr:cNvSpPr>
      </xdr:nvSpPr>
      <xdr:spPr bwMode="auto">
        <a:xfrm flipV="1">
          <a:off x="315914" y="17810163"/>
          <a:ext cx="409574" cy="308768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61914</xdr:colOff>
      <xdr:row>95</xdr:row>
      <xdr:rowOff>169069</xdr:rowOff>
    </xdr:from>
    <xdr:to>
      <xdr:col>2</xdr:col>
      <xdr:colOff>61913</xdr:colOff>
      <xdr:row>97</xdr:row>
      <xdr:rowOff>38100</xdr:rowOff>
    </xdr:to>
    <xdr:pic>
      <xdr:nvPicPr>
        <xdr:cNvPr id="328" name="Picture 1139" descr="red_07">
          <a:extLst>
            <a:ext uri="{FF2B5EF4-FFF2-40B4-BE49-F238E27FC236}">
              <a16:creationId xmlns:a16="http://schemas.microsoft.com/office/drawing/2014/main" id="{AF7DB3F3-6508-47BA-B2B5-DC09BB89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14" y="16221869"/>
          <a:ext cx="228599" cy="22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61914</xdr:colOff>
      <xdr:row>97</xdr:row>
      <xdr:rowOff>169069</xdr:rowOff>
    </xdr:from>
    <xdr:to>
      <xdr:col>2</xdr:col>
      <xdr:colOff>61913</xdr:colOff>
      <xdr:row>99</xdr:row>
      <xdr:rowOff>38100</xdr:rowOff>
    </xdr:to>
    <xdr:pic>
      <xdr:nvPicPr>
        <xdr:cNvPr id="329" name="Picture 1140" descr="red_08">
          <a:extLst>
            <a:ext uri="{FF2B5EF4-FFF2-40B4-BE49-F238E27FC236}">
              <a16:creationId xmlns:a16="http://schemas.microsoft.com/office/drawing/2014/main" id="{928411DA-C0BC-45C2-84F8-C3B849F16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14" y="16577469"/>
          <a:ext cx="228599" cy="22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61914</xdr:colOff>
      <xdr:row>99</xdr:row>
      <xdr:rowOff>169069</xdr:rowOff>
    </xdr:from>
    <xdr:to>
      <xdr:col>2</xdr:col>
      <xdr:colOff>61913</xdr:colOff>
      <xdr:row>101</xdr:row>
      <xdr:rowOff>38100</xdr:rowOff>
    </xdr:to>
    <xdr:pic>
      <xdr:nvPicPr>
        <xdr:cNvPr id="330" name="Picture 1141" descr="red_09">
          <a:extLst>
            <a:ext uri="{FF2B5EF4-FFF2-40B4-BE49-F238E27FC236}">
              <a16:creationId xmlns:a16="http://schemas.microsoft.com/office/drawing/2014/main" id="{B734C9BC-76FD-46DD-8C9D-64B36F397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14" y="16933069"/>
          <a:ext cx="228599" cy="22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61914</xdr:colOff>
      <xdr:row>101</xdr:row>
      <xdr:rowOff>169069</xdr:rowOff>
    </xdr:from>
    <xdr:to>
      <xdr:col>2</xdr:col>
      <xdr:colOff>61913</xdr:colOff>
      <xdr:row>103</xdr:row>
      <xdr:rowOff>38100</xdr:rowOff>
    </xdr:to>
    <xdr:pic>
      <xdr:nvPicPr>
        <xdr:cNvPr id="331" name="Picture 1142" descr="red_10">
          <a:extLst>
            <a:ext uri="{FF2B5EF4-FFF2-40B4-BE49-F238E27FC236}">
              <a16:creationId xmlns:a16="http://schemas.microsoft.com/office/drawing/2014/main" id="{B0C031DA-5784-4326-AFEB-4F615F0E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14" y="17288669"/>
          <a:ext cx="228599" cy="22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61914</xdr:colOff>
      <xdr:row>103</xdr:row>
      <xdr:rowOff>169069</xdr:rowOff>
    </xdr:from>
    <xdr:to>
      <xdr:col>2</xdr:col>
      <xdr:colOff>61913</xdr:colOff>
      <xdr:row>105</xdr:row>
      <xdr:rowOff>40481</xdr:rowOff>
    </xdr:to>
    <xdr:pic>
      <xdr:nvPicPr>
        <xdr:cNvPr id="332" name="Picture 1143" descr="red_11">
          <a:extLst>
            <a:ext uri="{FF2B5EF4-FFF2-40B4-BE49-F238E27FC236}">
              <a16:creationId xmlns:a16="http://schemas.microsoft.com/office/drawing/2014/main" id="{B4D7CF21-E1CC-437F-86FB-D9D863CB2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14" y="17644269"/>
          <a:ext cx="228599" cy="227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61914</xdr:colOff>
      <xdr:row>106</xdr:row>
      <xdr:rowOff>114300</xdr:rowOff>
    </xdr:from>
    <xdr:to>
      <xdr:col>2</xdr:col>
      <xdr:colOff>61913</xdr:colOff>
      <xdr:row>107</xdr:row>
      <xdr:rowOff>171450</xdr:rowOff>
    </xdr:to>
    <xdr:pic>
      <xdr:nvPicPr>
        <xdr:cNvPr id="333" name="Picture 1144" descr="red_12">
          <a:extLst>
            <a:ext uri="{FF2B5EF4-FFF2-40B4-BE49-F238E27FC236}">
              <a16:creationId xmlns:a16="http://schemas.microsoft.com/office/drawing/2014/main" id="{77F81323-0FA7-4656-943A-47CAAF9EC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14" y="18002250"/>
          <a:ext cx="228599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158</xdr:row>
      <xdr:rowOff>83343</xdr:rowOff>
    </xdr:from>
    <xdr:to>
      <xdr:col>3</xdr:col>
      <xdr:colOff>123824</xdr:colOff>
      <xdr:row>160</xdr:row>
      <xdr:rowOff>35719</xdr:rowOff>
    </xdr:to>
    <xdr:sp macro="" textlink="">
      <xdr:nvSpPr>
        <xdr:cNvPr id="334" name="Line 1145">
          <a:extLst>
            <a:ext uri="{FF2B5EF4-FFF2-40B4-BE49-F238E27FC236}">
              <a16:creationId xmlns:a16="http://schemas.microsoft.com/office/drawing/2014/main" id="{EB0EFBBE-17AA-4219-B633-4A83B94F19E6}"/>
            </a:ext>
          </a:extLst>
        </xdr:cNvPr>
        <xdr:cNvSpPr>
          <a:spLocks noChangeShapeType="1"/>
        </xdr:cNvSpPr>
      </xdr:nvSpPr>
      <xdr:spPr bwMode="auto">
        <a:xfrm flipV="1">
          <a:off x="311150" y="267977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160</xdr:row>
      <xdr:rowOff>83344</xdr:rowOff>
    </xdr:from>
    <xdr:to>
      <xdr:col>3</xdr:col>
      <xdr:colOff>123824</xdr:colOff>
      <xdr:row>162</xdr:row>
      <xdr:rowOff>35718</xdr:rowOff>
    </xdr:to>
    <xdr:sp macro="" textlink="">
      <xdr:nvSpPr>
        <xdr:cNvPr id="335" name="Line 1146">
          <a:extLst>
            <a:ext uri="{FF2B5EF4-FFF2-40B4-BE49-F238E27FC236}">
              <a16:creationId xmlns:a16="http://schemas.microsoft.com/office/drawing/2014/main" id="{8A43A1BE-B4C0-48E1-B2EE-71D9839A1F40}"/>
            </a:ext>
          </a:extLst>
        </xdr:cNvPr>
        <xdr:cNvSpPr>
          <a:spLocks noChangeShapeType="1"/>
        </xdr:cNvSpPr>
      </xdr:nvSpPr>
      <xdr:spPr bwMode="auto">
        <a:xfrm flipV="1">
          <a:off x="311150" y="27153394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162</xdr:row>
      <xdr:rowOff>83343</xdr:rowOff>
    </xdr:from>
    <xdr:to>
      <xdr:col>3</xdr:col>
      <xdr:colOff>123824</xdr:colOff>
      <xdr:row>164</xdr:row>
      <xdr:rowOff>35719</xdr:rowOff>
    </xdr:to>
    <xdr:sp macro="" textlink="">
      <xdr:nvSpPr>
        <xdr:cNvPr id="336" name="Line 1147">
          <a:extLst>
            <a:ext uri="{FF2B5EF4-FFF2-40B4-BE49-F238E27FC236}">
              <a16:creationId xmlns:a16="http://schemas.microsoft.com/office/drawing/2014/main" id="{54E43C72-F061-418A-A98B-85C54C824EE1}"/>
            </a:ext>
          </a:extLst>
        </xdr:cNvPr>
        <xdr:cNvSpPr>
          <a:spLocks noChangeShapeType="1"/>
        </xdr:cNvSpPr>
      </xdr:nvSpPr>
      <xdr:spPr bwMode="auto">
        <a:xfrm flipV="1">
          <a:off x="311150" y="275089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164</xdr:row>
      <xdr:rowOff>83344</xdr:rowOff>
    </xdr:from>
    <xdr:to>
      <xdr:col>3</xdr:col>
      <xdr:colOff>123824</xdr:colOff>
      <xdr:row>166</xdr:row>
      <xdr:rowOff>38100</xdr:rowOff>
    </xdr:to>
    <xdr:sp macro="" textlink="">
      <xdr:nvSpPr>
        <xdr:cNvPr id="337" name="Line 1148">
          <a:extLst>
            <a:ext uri="{FF2B5EF4-FFF2-40B4-BE49-F238E27FC236}">
              <a16:creationId xmlns:a16="http://schemas.microsoft.com/office/drawing/2014/main" id="{D28A4380-5844-46C8-A4A6-36373FF01B91}"/>
            </a:ext>
          </a:extLst>
        </xdr:cNvPr>
        <xdr:cNvSpPr>
          <a:spLocks noChangeShapeType="1"/>
        </xdr:cNvSpPr>
      </xdr:nvSpPr>
      <xdr:spPr bwMode="auto">
        <a:xfrm flipV="1">
          <a:off x="311150" y="2786459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166</xdr:row>
      <xdr:rowOff>85725</xdr:rowOff>
    </xdr:from>
    <xdr:to>
      <xdr:col>3</xdr:col>
      <xdr:colOff>123824</xdr:colOff>
      <xdr:row>168</xdr:row>
      <xdr:rowOff>157162</xdr:rowOff>
    </xdr:to>
    <xdr:sp macro="" textlink="">
      <xdr:nvSpPr>
        <xdr:cNvPr id="338" name="Line 1149">
          <a:extLst>
            <a:ext uri="{FF2B5EF4-FFF2-40B4-BE49-F238E27FC236}">
              <a16:creationId xmlns:a16="http://schemas.microsoft.com/office/drawing/2014/main" id="{7A7E3C2E-CE26-42EF-A3C9-8CF6CB3D71B6}"/>
            </a:ext>
          </a:extLst>
        </xdr:cNvPr>
        <xdr:cNvSpPr>
          <a:spLocks noChangeShapeType="1"/>
        </xdr:cNvSpPr>
      </xdr:nvSpPr>
      <xdr:spPr bwMode="auto">
        <a:xfrm flipV="1">
          <a:off x="311150" y="28222575"/>
          <a:ext cx="409574" cy="30638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156</xdr:row>
      <xdr:rowOff>83344</xdr:rowOff>
    </xdr:from>
    <xdr:to>
      <xdr:col>3</xdr:col>
      <xdr:colOff>123824</xdr:colOff>
      <xdr:row>158</xdr:row>
      <xdr:rowOff>35718</xdr:rowOff>
    </xdr:to>
    <xdr:sp macro="" textlink="">
      <xdr:nvSpPr>
        <xdr:cNvPr id="339" name="Line 1150">
          <a:extLst>
            <a:ext uri="{FF2B5EF4-FFF2-40B4-BE49-F238E27FC236}">
              <a16:creationId xmlns:a16="http://schemas.microsoft.com/office/drawing/2014/main" id="{2E2D574E-E952-4EE2-8299-6BF1C1815EA4}"/>
            </a:ext>
          </a:extLst>
        </xdr:cNvPr>
        <xdr:cNvSpPr>
          <a:spLocks noChangeShapeType="1"/>
        </xdr:cNvSpPr>
      </xdr:nvSpPr>
      <xdr:spPr bwMode="auto">
        <a:xfrm flipV="1">
          <a:off x="311150" y="26442194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59531</xdr:colOff>
      <xdr:row>157</xdr:row>
      <xdr:rowOff>102394</xdr:rowOff>
    </xdr:from>
    <xdr:to>
      <xdr:col>2</xdr:col>
      <xdr:colOff>59531</xdr:colOff>
      <xdr:row>158</xdr:row>
      <xdr:rowOff>147637</xdr:rowOff>
    </xdr:to>
    <xdr:pic>
      <xdr:nvPicPr>
        <xdr:cNvPr id="340" name="Picture 1151" descr="red_13">
          <a:extLst>
            <a:ext uri="{FF2B5EF4-FFF2-40B4-BE49-F238E27FC236}">
              <a16:creationId xmlns:a16="http://schemas.microsoft.com/office/drawing/2014/main" id="{42C5697E-365A-4246-8E21-BF7AE1D77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6639044"/>
          <a:ext cx="228600" cy="22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159</xdr:row>
      <xdr:rowOff>102394</xdr:rowOff>
    </xdr:from>
    <xdr:to>
      <xdr:col>2</xdr:col>
      <xdr:colOff>59531</xdr:colOff>
      <xdr:row>160</xdr:row>
      <xdr:rowOff>147638</xdr:rowOff>
    </xdr:to>
    <xdr:pic>
      <xdr:nvPicPr>
        <xdr:cNvPr id="341" name="Picture 1152" descr="red_14">
          <a:extLst>
            <a:ext uri="{FF2B5EF4-FFF2-40B4-BE49-F238E27FC236}">
              <a16:creationId xmlns:a16="http://schemas.microsoft.com/office/drawing/2014/main" id="{E2CE1D42-A5E9-49B5-AB5A-BDD821293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6994644"/>
          <a:ext cx="228600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161</xdr:row>
      <xdr:rowOff>102394</xdr:rowOff>
    </xdr:from>
    <xdr:to>
      <xdr:col>2</xdr:col>
      <xdr:colOff>59531</xdr:colOff>
      <xdr:row>162</xdr:row>
      <xdr:rowOff>147637</xdr:rowOff>
    </xdr:to>
    <xdr:pic>
      <xdr:nvPicPr>
        <xdr:cNvPr id="342" name="Picture 1153" descr="red_15">
          <a:extLst>
            <a:ext uri="{FF2B5EF4-FFF2-40B4-BE49-F238E27FC236}">
              <a16:creationId xmlns:a16="http://schemas.microsoft.com/office/drawing/2014/main" id="{FA278615-0C47-432F-8136-BA0751842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7350244"/>
          <a:ext cx="228600" cy="22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163</xdr:row>
      <xdr:rowOff>102394</xdr:rowOff>
    </xdr:from>
    <xdr:to>
      <xdr:col>2</xdr:col>
      <xdr:colOff>59531</xdr:colOff>
      <xdr:row>164</xdr:row>
      <xdr:rowOff>147638</xdr:rowOff>
    </xdr:to>
    <xdr:pic>
      <xdr:nvPicPr>
        <xdr:cNvPr id="343" name="Picture 1154" descr="red_16">
          <a:extLst>
            <a:ext uri="{FF2B5EF4-FFF2-40B4-BE49-F238E27FC236}">
              <a16:creationId xmlns:a16="http://schemas.microsoft.com/office/drawing/2014/main" id="{F2117C79-0507-4069-86E6-56E54E556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7705844"/>
          <a:ext cx="228600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165</xdr:row>
      <xdr:rowOff>107156</xdr:rowOff>
    </xdr:from>
    <xdr:to>
      <xdr:col>2</xdr:col>
      <xdr:colOff>59531</xdr:colOff>
      <xdr:row>166</xdr:row>
      <xdr:rowOff>161925</xdr:rowOff>
    </xdr:to>
    <xdr:pic>
      <xdr:nvPicPr>
        <xdr:cNvPr id="344" name="Picture 1155" descr="red_17">
          <a:extLst>
            <a:ext uri="{FF2B5EF4-FFF2-40B4-BE49-F238E27FC236}">
              <a16:creationId xmlns:a16="http://schemas.microsoft.com/office/drawing/2014/main" id="{EE1AA0A7-4FD2-406F-8383-DC5A22C6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8066206"/>
          <a:ext cx="228600" cy="232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168</xdr:row>
      <xdr:rowOff>54768</xdr:rowOff>
    </xdr:from>
    <xdr:to>
      <xdr:col>2</xdr:col>
      <xdr:colOff>59531</xdr:colOff>
      <xdr:row>169</xdr:row>
      <xdr:rowOff>114300</xdr:rowOff>
    </xdr:to>
    <xdr:pic>
      <xdr:nvPicPr>
        <xdr:cNvPr id="345" name="Picture 1156" descr="red_18">
          <a:extLst>
            <a:ext uri="{FF2B5EF4-FFF2-40B4-BE49-F238E27FC236}">
              <a16:creationId xmlns:a16="http://schemas.microsoft.com/office/drawing/2014/main" id="{C7E0CABA-A253-4F01-9DF0-CC0871BAA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8426568"/>
          <a:ext cx="228600" cy="230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215</xdr:row>
      <xdr:rowOff>173832</xdr:rowOff>
    </xdr:from>
    <xdr:to>
      <xdr:col>3</xdr:col>
      <xdr:colOff>123824</xdr:colOff>
      <xdr:row>217</xdr:row>
      <xdr:rowOff>126206</xdr:rowOff>
    </xdr:to>
    <xdr:sp macro="" textlink="">
      <xdr:nvSpPr>
        <xdr:cNvPr id="346" name="Line 1157">
          <a:extLst>
            <a:ext uri="{FF2B5EF4-FFF2-40B4-BE49-F238E27FC236}">
              <a16:creationId xmlns:a16="http://schemas.microsoft.com/office/drawing/2014/main" id="{D841CED1-F7E5-4C46-B0F3-5B9A7519BED4}"/>
            </a:ext>
          </a:extLst>
        </xdr:cNvPr>
        <xdr:cNvSpPr>
          <a:spLocks noChangeShapeType="1"/>
        </xdr:cNvSpPr>
      </xdr:nvSpPr>
      <xdr:spPr bwMode="auto">
        <a:xfrm flipV="1">
          <a:off x="311150" y="364831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217</xdr:row>
      <xdr:rowOff>173831</xdr:rowOff>
    </xdr:from>
    <xdr:to>
      <xdr:col>3</xdr:col>
      <xdr:colOff>123824</xdr:colOff>
      <xdr:row>219</xdr:row>
      <xdr:rowOff>126207</xdr:rowOff>
    </xdr:to>
    <xdr:sp macro="" textlink="">
      <xdr:nvSpPr>
        <xdr:cNvPr id="347" name="Line 1158">
          <a:extLst>
            <a:ext uri="{FF2B5EF4-FFF2-40B4-BE49-F238E27FC236}">
              <a16:creationId xmlns:a16="http://schemas.microsoft.com/office/drawing/2014/main" id="{9535D680-00F2-47B8-933C-752BD9F3C885}"/>
            </a:ext>
          </a:extLst>
        </xdr:cNvPr>
        <xdr:cNvSpPr>
          <a:spLocks noChangeShapeType="1"/>
        </xdr:cNvSpPr>
      </xdr:nvSpPr>
      <xdr:spPr bwMode="auto">
        <a:xfrm flipV="1">
          <a:off x="311150" y="36838731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219</xdr:row>
      <xdr:rowOff>173832</xdr:rowOff>
    </xdr:from>
    <xdr:to>
      <xdr:col>3</xdr:col>
      <xdr:colOff>123824</xdr:colOff>
      <xdr:row>221</xdr:row>
      <xdr:rowOff>126206</xdr:rowOff>
    </xdr:to>
    <xdr:sp macro="" textlink="">
      <xdr:nvSpPr>
        <xdr:cNvPr id="348" name="Line 1159">
          <a:extLst>
            <a:ext uri="{FF2B5EF4-FFF2-40B4-BE49-F238E27FC236}">
              <a16:creationId xmlns:a16="http://schemas.microsoft.com/office/drawing/2014/main" id="{FBD3294F-A792-411F-8B28-0F30B28A8340}"/>
            </a:ext>
          </a:extLst>
        </xdr:cNvPr>
        <xdr:cNvSpPr>
          <a:spLocks noChangeShapeType="1"/>
        </xdr:cNvSpPr>
      </xdr:nvSpPr>
      <xdr:spPr bwMode="auto">
        <a:xfrm flipV="1">
          <a:off x="311150" y="371943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221</xdr:row>
      <xdr:rowOff>173831</xdr:rowOff>
    </xdr:from>
    <xdr:to>
      <xdr:col>3</xdr:col>
      <xdr:colOff>123824</xdr:colOff>
      <xdr:row>223</xdr:row>
      <xdr:rowOff>126207</xdr:rowOff>
    </xdr:to>
    <xdr:sp macro="" textlink="">
      <xdr:nvSpPr>
        <xdr:cNvPr id="349" name="Line 1160">
          <a:extLst>
            <a:ext uri="{FF2B5EF4-FFF2-40B4-BE49-F238E27FC236}">
              <a16:creationId xmlns:a16="http://schemas.microsoft.com/office/drawing/2014/main" id="{3140A2F1-6430-479E-A4EB-432ECDF077C7}"/>
            </a:ext>
          </a:extLst>
        </xdr:cNvPr>
        <xdr:cNvSpPr>
          <a:spLocks noChangeShapeType="1"/>
        </xdr:cNvSpPr>
      </xdr:nvSpPr>
      <xdr:spPr bwMode="auto">
        <a:xfrm flipV="1">
          <a:off x="311150" y="37549931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223</xdr:row>
      <xdr:rowOff>173832</xdr:rowOff>
    </xdr:from>
    <xdr:to>
      <xdr:col>3</xdr:col>
      <xdr:colOff>123824</xdr:colOff>
      <xdr:row>225</xdr:row>
      <xdr:rowOff>126206</xdr:rowOff>
    </xdr:to>
    <xdr:sp macro="" textlink="">
      <xdr:nvSpPr>
        <xdr:cNvPr id="350" name="Line 1161">
          <a:extLst>
            <a:ext uri="{FF2B5EF4-FFF2-40B4-BE49-F238E27FC236}">
              <a16:creationId xmlns:a16="http://schemas.microsoft.com/office/drawing/2014/main" id="{77194264-EC80-455F-9396-07188AC56092}"/>
            </a:ext>
          </a:extLst>
        </xdr:cNvPr>
        <xdr:cNvSpPr>
          <a:spLocks noChangeShapeType="1"/>
        </xdr:cNvSpPr>
      </xdr:nvSpPr>
      <xdr:spPr bwMode="auto">
        <a:xfrm flipV="1">
          <a:off x="311150" y="379055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226</xdr:row>
      <xdr:rowOff>0</xdr:rowOff>
    </xdr:from>
    <xdr:to>
      <xdr:col>3</xdr:col>
      <xdr:colOff>123824</xdr:colOff>
      <xdr:row>227</xdr:row>
      <xdr:rowOff>130969</xdr:rowOff>
    </xdr:to>
    <xdr:sp macro="" textlink="">
      <xdr:nvSpPr>
        <xdr:cNvPr id="351" name="Line 1162">
          <a:extLst>
            <a:ext uri="{FF2B5EF4-FFF2-40B4-BE49-F238E27FC236}">
              <a16:creationId xmlns:a16="http://schemas.microsoft.com/office/drawing/2014/main" id="{0EF5DE36-08A1-4979-89D8-466A818DDBF8}"/>
            </a:ext>
          </a:extLst>
        </xdr:cNvPr>
        <xdr:cNvSpPr>
          <a:spLocks noChangeShapeType="1"/>
        </xdr:cNvSpPr>
      </xdr:nvSpPr>
      <xdr:spPr bwMode="auto">
        <a:xfrm flipV="1">
          <a:off x="311150" y="38265100"/>
          <a:ext cx="409574" cy="30876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59531</xdr:colOff>
      <xdr:row>217</xdr:row>
      <xdr:rowOff>14287</xdr:rowOff>
    </xdr:from>
    <xdr:to>
      <xdr:col>2</xdr:col>
      <xdr:colOff>59531</xdr:colOff>
      <xdr:row>218</xdr:row>
      <xdr:rowOff>61912</xdr:rowOff>
    </xdr:to>
    <xdr:pic>
      <xdr:nvPicPr>
        <xdr:cNvPr id="352" name="Picture 1163" descr="red_19">
          <a:extLst>
            <a:ext uri="{FF2B5EF4-FFF2-40B4-BE49-F238E27FC236}">
              <a16:creationId xmlns:a16="http://schemas.microsoft.com/office/drawing/2014/main" id="{9D4C57A7-F854-483C-A26E-3A659A6B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6679187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219</xdr:row>
      <xdr:rowOff>14288</xdr:rowOff>
    </xdr:from>
    <xdr:to>
      <xdr:col>2</xdr:col>
      <xdr:colOff>59531</xdr:colOff>
      <xdr:row>220</xdr:row>
      <xdr:rowOff>61913</xdr:rowOff>
    </xdr:to>
    <xdr:pic>
      <xdr:nvPicPr>
        <xdr:cNvPr id="353" name="Picture 1164" descr="red_20">
          <a:extLst>
            <a:ext uri="{FF2B5EF4-FFF2-40B4-BE49-F238E27FC236}">
              <a16:creationId xmlns:a16="http://schemas.microsoft.com/office/drawing/2014/main" id="{47BDB67B-CF3F-41A0-BCF3-9C4EF6CA6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034788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221</xdr:row>
      <xdr:rowOff>14287</xdr:rowOff>
    </xdr:from>
    <xdr:to>
      <xdr:col>2</xdr:col>
      <xdr:colOff>59531</xdr:colOff>
      <xdr:row>222</xdr:row>
      <xdr:rowOff>61912</xdr:rowOff>
    </xdr:to>
    <xdr:pic>
      <xdr:nvPicPr>
        <xdr:cNvPr id="354" name="Picture 1165" descr="red_21">
          <a:extLst>
            <a:ext uri="{FF2B5EF4-FFF2-40B4-BE49-F238E27FC236}">
              <a16:creationId xmlns:a16="http://schemas.microsoft.com/office/drawing/2014/main" id="{73C50523-DC9B-44D7-AD99-E5E5C78DC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390387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223</xdr:row>
      <xdr:rowOff>14288</xdr:rowOff>
    </xdr:from>
    <xdr:to>
      <xdr:col>2</xdr:col>
      <xdr:colOff>59531</xdr:colOff>
      <xdr:row>224</xdr:row>
      <xdr:rowOff>61913</xdr:rowOff>
    </xdr:to>
    <xdr:pic>
      <xdr:nvPicPr>
        <xdr:cNvPr id="355" name="Picture 1166" descr="red_22">
          <a:extLst>
            <a:ext uri="{FF2B5EF4-FFF2-40B4-BE49-F238E27FC236}">
              <a16:creationId xmlns:a16="http://schemas.microsoft.com/office/drawing/2014/main" id="{E025068C-45C9-4F0C-BE36-9B4856A6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745988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225</xdr:row>
      <xdr:rowOff>14287</xdr:rowOff>
    </xdr:from>
    <xdr:to>
      <xdr:col>2</xdr:col>
      <xdr:colOff>59531</xdr:colOff>
      <xdr:row>226</xdr:row>
      <xdr:rowOff>66675</xdr:rowOff>
    </xdr:to>
    <xdr:pic>
      <xdr:nvPicPr>
        <xdr:cNvPr id="356" name="Picture 1167" descr="red_23">
          <a:extLst>
            <a:ext uri="{FF2B5EF4-FFF2-40B4-BE49-F238E27FC236}">
              <a16:creationId xmlns:a16="http://schemas.microsoft.com/office/drawing/2014/main" id="{CADE9968-D4BD-4D43-9107-FC980B44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8101587"/>
          <a:ext cx="228600" cy="23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227</xdr:row>
      <xdr:rowOff>16669</xdr:rowOff>
    </xdr:from>
    <xdr:to>
      <xdr:col>2</xdr:col>
      <xdr:colOff>59531</xdr:colOff>
      <xdr:row>228</xdr:row>
      <xdr:rowOff>64294</xdr:rowOff>
    </xdr:to>
    <xdr:pic>
      <xdr:nvPicPr>
        <xdr:cNvPr id="357" name="Picture 1168" descr="red_24">
          <a:extLst>
            <a:ext uri="{FF2B5EF4-FFF2-40B4-BE49-F238E27FC236}">
              <a16:creationId xmlns:a16="http://schemas.microsoft.com/office/drawing/2014/main" id="{9C5DB89E-155D-46AA-B9AC-F1CD9D1B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8459569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166688</xdr:colOff>
      <xdr:row>276</xdr:row>
      <xdr:rowOff>171450</xdr:rowOff>
    </xdr:from>
    <xdr:to>
      <xdr:col>3</xdr:col>
      <xdr:colOff>119062</xdr:colOff>
      <xdr:row>278</xdr:row>
      <xdr:rowOff>123825</xdr:rowOff>
    </xdr:to>
    <xdr:sp macro="" textlink="">
      <xdr:nvSpPr>
        <xdr:cNvPr id="358" name="Line 1169">
          <a:extLst>
            <a:ext uri="{FF2B5EF4-FFF2-40B4-BE49-F238E27FC236}">
              <a16:creationId xmlns:a16="http://schemas.microsoft.com/office/drawing/2014/main" id="{88B7DC01-C36F-4C43-8D7A-53FE2EB71901}"/>
            </a:ext>
          </a:extLst>
        </xdr:cNvPr>
        <xdr:cNvSpPr>
          <a:spLocks noChangeShapeType="1"/>
        </xdr:cNvSpPr>
      </xdr:nvSpPr>
      <xdr:spPr bwMode="auto">
        <a:xfrm flipV="1">
          <a:off x="306388" y="467868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278</xdr:row>
      <xdr:rowOff>171450</xdr:rowOff>
    </xdr:from>
    <xdr:to>
      <xdr:col>3</xdr:col>
      <xdr:colOff>119062</xdr:colOff>
      <xdr:row>280</xdr:row>
      <xdr:rowOff>123825</xdr:rowOff>
    </xdr:to>
    <xdr:sp macro="" textlink="">
      <xdr:nvSpPr>
        <xdr:cNvPr id="359" name="Line 1170">
          <a:extLst>
            <a:ext uri="{FF2B5EF4-FFF2-40B4-BE49-F238E27FC236}">
              <a16:creationId xmlns:a16="http://schemas.microsoft.com/office/drawing/2014/main" id="{1DA55273-1164-4B72-ADE7-A4EB70B9B7C7}"/>
            </a:ext>
          </a:extLst>
        </xdr:cNvPr>
        <xdr:cNvSpPr>
          <a:spLocks noChangeShapeType="1"/>
        </xdr:cNvSpPr>
      </xdr:nvSpPr>
      <xdr:spPr bwMode="auto">
        <a:xfrm flipV="1">
          <a:off x="306388" y="471424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280</xdr:row>
      <xdr:rowOff>171450</xdr:rowOff>
    </xdr:from>
    <xdr:to>
      <xdr:col>3</xdr:col>
      <xdr:colOff>119062</xdr:colOff>
      <xdr:row>282</xdr:row>
      <xdr:rowOff>123825</xdr:rowOff>
    </xdr:to>
    <xdr:sp macro="" textlink="">
      <xdr:nvSpPr>
        <xdr:cNvPr id="360" name="Line 1171">
          <a:extLst>
            <a:ext uri="{FF2B5EF4-FFF2-40B4-BE49-F238E27FC236}">
              <a16:creationId xmlns:a16="http://schemas.microsoft.com/office/drawing/2014/main" id="{E087E468-D34B-4F0B-9E64-C064B0BFEE5C}"/>
            </a:ext>
          </a:extLst>
        </xdr:cNvPr>
        <xdr:cNvSpPr>
          <a:spLocks noChangeShapeType="1"/>
        </xdr:cNvSpPr>
      </xdr:nvSpPr>
      <xdr:spPr bwMode="auto">
        <a:xfrm flipV="1">
          <a:off x="306388" y="474980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282</xdr:row>
      <xdr:rowOff>171450</xdr:rowOff>
    </xdr:from>
    <xdr:to>
      <xdr:col>3</xdr:col>
      <xdr:colOff>119062</xdr:colOff>
      <xdr:row>284</xdr:row>
      <xdr:rowOff>123825</xdr:rowOff>
    </xdr:to>
    <xdr:sp macro="" textlink="">
      <xdr:nvSpPr>
        <xdr:cNvPr id="361" name="Line 1172">
          <a:extLst>
            <a:ext uri="{FF2B5EF4-FFF2-40B4-BE49-F238E27FC236}">
              <a16:creationId xmlns:a16="http://schemas.microsoft.com/office/drawing/2014/main" id="{99106188-6404-4DC9-9F66-6F8FDF79994E}"/>
            </a:ext>
          </a:extLst>
        </xdr:cNvPr>
        <xdr:cNvSpPr>
          <a:spLocks noChangeShapeType="1"/>
        </xdr:cNvSpPr>
      </xdr:nvSpPr>
      <xdr:spPr bwMode="auto">
        <a:xfrm flipV="1">
          <a:off x="306388" y="478536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284</xdr:row>
      <xdr:rowOff>171450</xdr:rowOff>
    </xdr:from>
    <xdr:to>
      <xdr:col>3</xdr:col>
      <xdr:colOff>119062</xdr:colOff>
      <xdr:row>286</xdr:row>
      <xdr:rowOff>123825</xdr:rowOff>
    </xdr:to>
    <xdr:sp macro="" textlink="">
      <xdr:nvSpPr>
        <xdr:cNvPr id="362" name="Line 1173">
          <a:extLst>
            <a:ext uri="{FF2B5EF4-FFF2-40B4-BE49-F238E27FC236}">
              <a16:creationId xmlns:a16="http://schemas.microsoft.com/office/drawing/2014/main" id="{CCA49F29-C2AF-4D71-8BE3-D5EF02FEB49D}"/>
            </a:ext>
          </a:extLst>
        </xdr:cNvPr>
        <xdr:cNvSpPr>
          <a:spLocks noChangeShapeType="1"/>
        </xdr:cNvSpPr>
      </xdr:nvSpPr>
      <xdr:spPr bwMode="auto">
        <a:xfrm flipV="1">
          <a:off x="306388" y="482092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64294</xdr:colOff>
      <xdr:row>278</xdr:row>
      <xdr:rowOff>11906</xdr:rowOff>
    </xdr:from>
    <xdr:to>
      <xdr:col>2</xdr:col>
      <xdr:colOff>64294</xdr:colOff>
      <xdr:row>279</xdr:row>
      <xdr:rowOff>59532</xdr:rowOff>
    </xdr:to>
    <xdr:pic>
      <xdr:nvPicPr>
        <xdr:cNvPr id="363" name="Picture 1174" descr="red_25">
          <a:extLst>
            <a:ext uri="{FF2B5EF4-FFF2-40B4-BE49-F238E27FC236}">
              <a16:creationId xmlns:a16="http://schemas.microsoft.com/office/drawing/2014/main" id="{2AF242E5-B256-4F10-AF19-17902079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6982856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280</xdr:row>
      <xdr:rowOff>11906</xdr:rowOff>
    </xdr:from>
    <xdr:to>
      <xdr:col>2</xdr:col>
      <xdr:colOff>64294</xdr:colOff>
      <xdr:row>281</xdr:row>
      <xdr:rowOff>59531</xdr:rowOff>
    </xdr:to>
    <xdr:pic>
      <xdr:nvPicPr>
        <xdr:cNvPr id="364" name="Picture 1175" descr="red_26">
          <a:extLst>
            <a:ext uri="{FF2B5EF4-FFF2-40B4-BE49-F238E27FC236}">
              <a16:creationId xmlns:a16="http://schemas.microsoft.com/office/drawing/2014/main" id="{58F64BD8-1DEF-4C9D-B0BF-C48BE159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7338456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282</xdr:row>
      <xdr:rowOff>11906</xdr:rowOff>
    </xdr:from>
    <xdr:to>
      <xdr:col>2</xdr:col>
      <xdr:colOff>64294</xdr:colOff>
      <xdr:row>283</xdr:row>
      <xdr:rowOff>59532</xdr:rowOff>
    </xdr:to>
    <xdr:pic>
      <xdr:nvPicPr>
        <xdr:cNvPr id="365" name="Picture 1176" descr="red_27">
          <a:extLst>
            <a:ext uri="{FF2B5EF4-FFF2-40B4-BE49-F238E27FC236}">
              <a16:creationId xmlns:a16="http://schemas.microsoft.com/office/drawing/2014/main" id="{AAE3B3C5-267D-4592-8BA0-EF543EA48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7694056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284</xdr:row>
      <xdr:rowOff>11906</xdr:rowOff>
    </xdr:from>
    <xdr:to>
      <xdr:col>2</xdr:col>
      <xdr:colOff>64294</xdr:colOff>
      <xdr:row>285</xdr:row>
      <xdr:rowOff>59531</xdr:rowOff>
    </xdr:to>
    <xdr:pic>
      <xdr:nvPicPr>
        <xdr:cNvPr id="366" name="Picture 1177" descr="red_28">
          <a:extLst>
            <a:ext uri="{FF2B5EF4-FFF2-40B4-BE49-F238E27FC236}">
              <a16:creationId xmlns:a16="http://schemas.microsoft.com/office/drawing/2014/main" id="{789C9928-FD02-4D2B-9BC0-39CD9A16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049656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286</xdr:row>
      <xdr:rowOff>11906</xdr:rowOff>
    </xdr:from>
    <xdr:to>
      <xdr:col>2</xdr:col>
      <xdr:colOff>64294</xdr:colOff>
      <xdr:row>287</xdr:row>
      <xdr:rowOff>64294</xdr:rowOff>
    </xdr:to>
    <xdr:pic>
      <xdr:nvPicPr>
        <xdr:cNvPr id="367" name="Picture 1178" descr="red_29">
          <a:extLst>
            <a:ext uri="{FF2B5EF4-FFF2-40B4-BE49-F238E27FC236}">
              <a16:creationId xmlns:a16="http://schemas.microsoft.com/office/drawing/2014/main" id="{13E88385-1788-4D36-AC8A-B644D1F32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405256"/>
          <a:ext cx="228600" cy="23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166688</xdr:colOff>
      <xdr:row>287</xdr:row>
      <xdr:rowOff>7144</xdr:rowOff>
    </xdr:from>
    <xdr:to>
      <xdr:col>3</xdr:col>
      <xdr:colOff>119062</xdr:colOff>
      <xdr:row>288</xdr:row>
      <xdr:rowOff>138113</xdr:rowOff>
    </xdr:to>
    <xdr:sp macro="" textlink="">
      <xdr:nvSpPr>
        <xdr:cNvPr id="368" name="Line 1179">
          <a:extLst>
            <a:ext uri="{FF2B5EF4-FFF2-40B4-BE49-F238E27FC236}">
              <a16:creationId xmlns:a16="http://schemas.microsoft.com/office/drawing/2014/main" id="{963A9A33-C93F-4AD5-8554-0530BDB57BE3}"/>
            </a:ext>
          </a:extLst>
        </xdr:cNvPr>
        <xdr:cNvSpPr>
          <a:spLocks noChangeShapeType="1"/>
        </xdr:cNvSpPr>
      </xdr:nvSpPr>
      <xdr:spPr bwMode="auto">
        <a:xfrm flipV="1">
          <a:off x="306388" y="48578294"/>
          <a:ext cx="409574" cy="30876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64294</xdr:colOff>
      <xdr:row>288</xdr:row>
      <xdr:rowOff>14288</xdr:rowOff>
    </xdr:from>
    <xdr:to>
      <xdr:col>2</xdr:col>
      <xdr:colOff>64294</xdr:colOff>
      <xdr:row>289</xdr:row>
      <xdr:rowOff>61912</xdr:rowOff>
    </xdr:to>
    <xdr:pic>
      <xdr:nvPicPr>
        <xdr:cNvPr id="369" name="Picture 1180" descr="red_30">
          <a:extLst>
            <a:ext uri="{FF2B5EF4-FFF2-40B4-BE49-F238E27FC236}">
              <a16:creationId xmlns:a16="http://schemas.microsoft.com/office/drawing/2014/main" id="{E1C249E1-D411-46C6-8328-D998F6EF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763238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180976</xdr:colOff>
      <xdr:row>333</xdr:row>
      <xdr:rowOff>140493</xdr:rowOff>
    </xdr:from>
    <xdr:to>
      <xdr:col>3</xdr:col>
      <xdr:colOff>133350</xdr:colOff>
      <xdr:row>336</xdr:row>
      <xdr:rowOff>35719</xdr:rowOff>
    </xdr:to>
    <xdr:sp macro="" textlink="">
      <xdr:nvSpPr>
        <xdr:cNvPr id="370" name="Line 1181">
          <a:extLst>
            <a:ext uri="{FF2B5EF4-FFF2-40B4-BE49-F238E27FC236}">
              <a16:creationId xmlns:a16="http://schemas.microsoft.com/office/drawing/2014/main" id="{E0A57F2E-8929-4B7E-ACDA-4742A6B347FA}"/>
            </a:ext>
          </a:extLst>
        </xdr:cNvPr>
        <xdr:cNvSpPr>
          <a:spLocks noChangeShapeType="1"/>
        </xdr:cNvSpPr>
      </xdr:nvSpPr>
      <xdr:spPr bwMode="auto">
        <a:xfrm flipV="1">
          <a:off x="320676" y="564776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336</xdr:row>
      <xdr:rowOff>71438</xdr:rowOff>
    </xdr:from>
    <xdr:to>
      <xdr:col>3</xdr:col>
      <xdr:colOff>133350</xdr:colOff>
      <xdr:row>338</xdr:row>
      <xdr:rowOff>38100</xdr:rowOff>
    </xdr:to>
    <xdr:sp macro="" textlink="">
      <xdr:nvSpPr>
        <xdr:cNvPr id="371" name="Line 1182">
          <a:extLst>
            <a:ext uri="{FF2B5EF4-FFF2-40B4-BE49-F238E27FC236}">
              <a16:creationId xmlns:a16="http://schemas.microsoft.com/office/drawing/2014/main" id="{45AE0BAA-C9E1-4E9F-8C3A-B22E21CB5924}"/>
            </a:ext>
          </a:extLst>
        </xdr:cNvPr>
        <xdr:cNvSpPr>
          <a:spLocks noChangeShapeType="1"/>
        </xdr:cNvSpPr>
      </xdr:nvSpPr>
      <xdr:spPr bwMode="auto">
        <a:xfrm flipV="1">
          <a:off x="320676" y="56821388"/>
          <a:ext cx="409574" cy="315912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338</xdr:row>
      <xdr:rowOff>83343</xdr:rowOff>
    </xdr:from>
    <xdr:to>
      <xdr:col>3</xdr:col>
      <xdr:colOff>133350</xdr:colOff>
      <xdr:row>340</xdr:row>
      <xdr:rowOff>38100</xdr:rowOff>
    </xdr:to>
    <xdr:sp macro="" textlink="">
      <xdr:nvSpPr>
        <xdr:cNvPr id="372" name="Line 1183">
          <a:extLst>
            <a:ext uri="{FF2B5EF4-FFF2-40B4-BE49-F238E27FC236}">
              <a16:creationId xmlns:a16="http://schemas.microsoft.com/office/drawing/2014/main" id="{3BBB376F-A1F3-4E96-8F0D-3A85429A72C8}"/>
            </a:ext>
          </a:extLst>
        </xdr:cNvPr>
        <xdr:cNvSpPr>
          <a:spLocks noChangeShapeType="1"/>
        </xdr:cNvSpPr>
      </xdr:nvSpPr>
      <xdr:spPr bwMode="auto">
        <a:xfrm flipV="1">
          <a:off x="320676" y="57182543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340</xdr:row>
      <xdr:rowOff>83344</xdr:rowOff>
    </xdr:from>
    <xdr:to>
      <xdr:col>3</xdr:col>
      <xdr:colOff>133350</xdr:colOff>
      <xdr:row>342</xdr:row>
      <xdr:rowOff>38100</xdr:rowOff>
    </xdr:to>
    <xdr:sp macro="" textlink="">
      <xdr:nvSpPr>
        <xdr:cNvPr id="373" name="Line 1184">
          <a:extLst>
            <a:ext uri="{FF2B5EF4-FFF2-40B4-BE49-F238E27FC236}">
              <a16:creationId xmlns:a16="http://schemas.microsoft.com/office/drawing/2014/main" id="{7CB55F41-504A-41D6-8470-D07E6C41D25E}"/>
            </a:ext>
          </a:extLst>
        </xdr:cNvPr>
        <xdr:cNvSpPr>
          <a:spLocks noChangeShapeType="1"/>
        </xdr:cNvSpPr>
      </xdr:nvSpPr>
      <xdr:spPr bwMode="auto">
        <a:xfrm flipV="1">
          <a:off x="320676" y="5753814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342</xdr:row>
      <xdr:rowOff>83343</xdr:rowOff>
    </xdr:from>
    <xdr:to>
      <xdr:col>3</xdr:col>
      <xdr:colOff>133350</xdr:colOff>
      <xdr:row>344</xdr:row>
      <xdr:rowOff>38100</xdr:rowOff>
    </xdr:to>
    <xdr:sp macro="" textlink="">
      <xdr:nvSpPr>
        <xdr:cNvPr id="374" name="Line 1185">
          <a:extLst>
            <a:ext uri="{FF2B5EF4-FFF2-40B4-BE49-F238E27FC236}">
              <a16:creationId xmlns:a16="http://schemas.microsoft.com/office/drawing/2014/main" id="{90E4EDAC-D643-4A60-AA89-474D6A7D37C2}"/>
            </a:ext>
          </a:extLst>
        </xdr:cNvPr>
        <xdr:cNvSpPr>
          <a:spLocks noChangeShapeType="1"/>
        </xdr:cNvSpPr>
      </xdr:nvSpPr>
      <xdr:spPr bwMode="auto">
        <a:xfrm flipV="1">
          <a:off x="320676" y="57893743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344</xdr:row>
      <xdr:rowOff>83344</xdr:rowOff>
    </xdr:from>
    <xdr:to>
      <xdr:col>3</xdr:col>
      <xdr:colOff>133350</xdr:colOff>
      <xdr:row>346</xdr:row>
      <xdr:rowOff>38100</xdr:rowOff>
    </xdr:to>
    <xdr:sp macro="" textlink="">
      <xdr:nvSpPr>
        <xdr:cNvPr id="375" name="Line 1186">
          <a:extLst>
            <a:ext uri="{FF2B5EF4-FFF2-40B4-BE49-F238E27FC236}">
              <a16:creationId xmlns:a16="http://schemas.microsoft.com/office/drawing/2014/main" id="{6C84384C-CE34-4987-B9CE-C48986DF57B0}"/>
            </a:ext>
          </a:extLst>
        </xdr:cNvPr>
        <xdr:cNvSpPr>
          <a:spLocks noChangeShapeType="1"/>
        </xdr:cNvSpPr>
      </xdr:nvSpPr>
      <xdr:spPr bwMode="auto">
        <a:xfrm flipV="1">
          <a:off x="320676" y="5824934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66676</xdr:colOff>
      <xdr:row>334</xdr:row>
      <xdr:rowOff>150019</xdr:rowOff>
    </xdr:from>
    <xdr:to>
      <xdr:col>2</xdr:col>
      <xdr:colOff>76200</xdr:colOff>
      <xdr:row>336</xdr:row>
      <xdr:rowOff>138113</xdr:rowOff>
    </xdr:to>
    <xdr:pic>
      <xdr:nvPicPr>
        <xdr:cNvPr id="376" name="Picture 1187" descr="red_31">
          <a:extLst>
            <a:ext uri="{FF2B5EF4-FFF2-40B4-BE49-F238E27FC236}">
              <a16:creationId xmlns:a16="http://schemas.microsoft.com/office/drawing/2014/main" id="{7A398CF1-7081-48EF-B650-9FC2AD0E5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6665019"/>
          <a:ext cx="238124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337</xdr:row>
      <xdr:rowOff>102394</xdr:rowOff>
    </xdr:from>
    <xdr:to>
      <xdr:col>2</xdr:col>
      <xdr:colOff>76200</xdr:colOff>
      <xdr:row>338</xdr:row>
      <xdr:rowOff>150018</xdr:rowOff>
    </xdr:to>
    <xdr:pic>
      <xdr:nvPicPr>
        <xdr:cNvPr id="377" name="Picture 1188" descr="red_32">
          <a:extLst>
            <a:ext uri="{FF2B5EF4-FFF2-40B4-BE49-F238E27FC236}">
              <a16:creationId xmlns:a16="http://schemas.microsoft.com/office/drawing/2014/main" id="{4ED0EE85-8944-4BEA-8769-36906EF7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0237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339</xdr:row>
      <xdr:rowOff>102394</xdr:rowOff>
    </xdr:from>
    <xdr:to>
      <xdr:col>2</xdr:col>
      <xdr:colOff>76200</xdr:colOff>
      <xdr:row>340</xdr:row>
      <xdr:rowOff>150019</xdr:rowOff>
    </xdr:to>
    <xdr:pic>
      <xdr:nvPicPr>
        <xdr:cNvPr id="378" name="Picture 1189" descr="red_33">
          <a:extLst>
            <a:ext uri="{FF2B5EF4-FFF2-40B4-BE49-F238E27FC236}">
              <a16:creationId xmlns:a16="http://schemas.microsoft.com/office/drawing/2014/main" id="{929C124C-24BB-4C58-A689-3E58F953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379394"/>
          <a:ext cx="238124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341</xdr:row>
      <xdr:rowOff>102394</xdr:rowOff>
    </xdr:from>
    <xdr:to>
      <xdr:col>2</xdr:col>
      <xdr:colOff>76200</xdr:colOff>
      <xdr:row>342</xdr:row>
      <xdr:rowOff>150018</xdr:rowOff>
    </xdr:to>
    <xdr:pic>
      <xdr:nvPicPr>
        <xdr:cNvPr id="379" name="Picture 1190" descr="red_34">
          <a:extLst>
            <a:ext uri="{FF2B5EF4-FFF2-40B4-BE49-F238E27FC236}">
              <a16:creationId xmlns:a16="http://schemas.microsoft.com/office/drawing/2014/main" id="{81E80BEF-1A05-461C-A99C-AAD5AC778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7349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343</xdr:row>
      <xdr:rowOff>102394</xdr:rowOff>
    </xdr:from>
    <xdr:to>
      <xdr:col>2</xdr:col>
      <xdr:colOff>76200</xdr:colOff>
      <xdr:row>344</xdr:row>
      <xdr:rowOff>150019</xdr:rowOff>
    </xdr:to>
    <xdr:pic>
      <xdr:nvPicPr>
        <xdr:cNvPr id="380" name="Picture 1191" descr="red_35">
          <a:extLst>
            <a:ext uri="{FF2B5EF4-FFF2-40B4-BE49-F238E27FC236}">
              <a16:creationId xmlns:a16="http://schemas.microsoft.com/office/drawing/2014/main" id="{578BE343-E843-424A-81CB-3E82F4C6A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8090594"/>
          <a:ext cx="238124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345</xdr:row>
      <xdr:rowOff>102394</xdr:rowOff>
    </xdr:from>
    <xdr:to>
      <xdr:col>2</xdr:col>
      <xdr:colOff>76200</xdr:colOff>
      <xdr:row>346</xdr:row>
      <xdr:rowOff>150018</xdr:rowOff>
    </xdr:to>
    <xdr:pic>
      <xdr:nvPicPr>
        <xdr:cNvPr id="381" name="Picture 1192" descr="red_36">
          <a:extLst>
            <a:ext uri="{FF2B5EF4-FFF2-40B4-BE49-F238E27FC236}">
              <a16:creationId xmlns:a16="http://schemas.microsoft.com/office/drawing/2014/main" id="{DE75B750-82C0-4A62-B60B-4CE1C77C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84461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9</xdr:row>
      <xdr:rowOff>0</xdr:rowOff>
    </xdr:from>
    <xdr:to>
      <xdr:col>46</xdr:col>
      <xdr:colOff>0</xdr:colOff>
      <xdr:row>25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DF7439-C60D-4C94-8A6F-78D51A383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14287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63</xdr:col>
      <xdr:colOff>0</xdr:colOff>
      <xdr:row>25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778CF3-A098-423D-96CF-6CD84FD39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14287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46</xdr:col>
      <xdr:colOff>0</xdr:colOff>
      <xdr:row>43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84DE14-0DDE-4385-9454-367A1F9F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45021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27</xdr:row>
      <xdr:rowOff>0</xdr:rowOff>
    </xdr:from>
    <xdr:to>
      <xdr:col>63</xdr:col>
      <xdr:colOff>0</xdr:colOff>
      <xdr:row>43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C4BFDF-EDAD-4445-B7CC-E571B24DA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45021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46</xdr:col>
      <xdr:colOff>0</xdr:colOff>
      <xdr:row>61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DFF53D3-C019-46B7-95EF-F2863672C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75755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63</xdr:col>
      <xdr:colOff>0</xdr:colOff>
      <xdr:row>61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BD83F3D-6DBB-40C1-B513-1CE5D645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75755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71</xdr:row>
      <xdr:rowOff>0</xdr:rowOff>
    </xdr:from>
    <xdr:to>
      <xdr:col>46</xdr:col>
      <xdr:colOff>0</xdr:colOff>
      <xdr:row>87</xdr:row>
      <xdr:rowOff>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F7084C8-8815-4B2B-9B08-FDE7E28F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1191260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71</xdr:row>
      <xdr:rowOff>0</xdr:rowOff>
    </xdr:from>
    <xdr:to>
      <xdr:col>63</xdr:col>
      <xdr:colOff>0</xdr:colOff>
      <xdr:row>87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2000C69-9081-4795-97FE-FD2C803FF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1191260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26</xdr:col>
      <xdr:colOff>224030</xdr:colOff>
      <xdr:row>184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04526D3-8BC1-410B-8019-E11D45E6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700" y="24174450"/>
          <a:ext cx="5939030" cy="7178675"/>
        </a:xfrm>
        <a:prstGeom prst="rect">
          <a:avLst/>
        </a:prstGeom>
      </xdr:spPr>
    </xdr:pic>
    <xdr:clientData/>
  </xdr:twoCellAnchor>
  <xdr:oneCellAnchor>
    <xdr:from>
      <xdr:col>11</xdr:col>
      <xdr:colOff>207169</xdr:colOff>
      <xdr:row>165</xdr:row>
      <xdr:rowOff>83343</xdr:rowOff>
    </xdr:from>
    <xdr:ext cx="923925" cy="226219"/>
    <xdr:sp macro="" textlink="">
      <xdr:nvSpPr>
        <xdr:cNvPr id="11" name="Text Box 61">
          <a:extLst>
            <a:ext uri="{FF2B5EF4-FFF2-40B4-BE49-F238E27FC236}">
              <a16:creationId xmlns:a16="http://schemas.microsoft.com/office/drawing/2014/main" id="{0C1CFB77-6F1F-4EBD-92B0-B4EE14B8EC40}"/>
            </a:ext>
          </a:extLst>
        </xdr:cNvPr>
        <xdr:cNvSpPr txBox="1">
          <a:spLocks noChangeArrowheads="1"/>
        </xdr:cNvSpPr>
      </xdr:nvSpPr>
      <xdr:spPr bwMode="auto">
        <a:xfrm>
          <a:off x="2632869" y="28042393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10</xdr:col>
      <xdr:colOff>119064</xdr:colOff>
      <xdr:row>160</xdr:row>
      <xdr:rowOff>95250</xdr:rowOff>
    </xdr:from>
    <xdr:to>
      <xdr:col>17</xdr:col>
      <xdr:colOff>130971</xdr:colOff>
      <xdr:row>171</xdr:row>
      <xdr:rowOff>71438</xdr:rowOff>
    </xdr:to>
    <xdr:sp macro="" textlink="">
      <xdr:nvSpPr>
        <xdr:cNvPr id="12" name="フリーフォーム: 図形 11">
          <a:extLst>
            <a:ext uri="{FF2B5EF4-FFF2-40B4-BE49-F238E27FC236}">
              <a16:creationId xmlns:a16="http://schemas.microsoft.com/office/drawing/2014/main" id="{F79885FB-E41C-4580-B5EC-1AE8F8087F8E}"/>
            </a:ext>
          </a:extLst>
        </xdr:cNvPr>
        <xdr:cNvSpPr/>
      </xdr:nvSpPr>
      <xdr:spPr bwMode="auto">
        <a:xfrm>
          <a:off x="2316164" y="27165300"/>
          <a:ext cx="1612107" cy="1804988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26</xdr:col>
      <xdr:colOff>224030</xdr:colOff>
      <xdr:row>122</xdr:row>
      <xdr:rowOff>142875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413E8FB-6F69-456D-AA0C-1DDC11F6A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700" y="13690600"/>
          <a:ext cx="5939030" cy="7178675"/>
        </a:xfrm>
        <a:prstGeom prst="rect">
          <a:avLst/>
        </a:prstGeom>
      </xdr:spPr>
    </xdr:pic>
    <xdr:clientData/>
  </xdr:twoCellAnchor>
  <xdr:oneCellAnchor>
    <xdr:from>
      <xdr:col>11</xdr:col>
      <xdr:colOff>207169</xdr:colOff>
      <xdr:row>103</xdr:row>
      <xdr:rowOff>83344</xdr:rowOff>
    </xdr:from>
    <xdr:ext cx="923925" cy="226219"/>
    <xdr:sp macro="" textlink="">
      <xdr:nvSpPr>
        <xdr:cNvPr id="14" name="Text Box 61">
          <a:extLst>
            <a:ext uri="{FF2B5EF4-FFF2-40B4-BE49-F238E27FC236}">
              <a16:creationId xmlns:a16="http://schemas.microsoft.com/office/drawing/2014/main" id="{AE1F87EC-5CCD-41AA-9670-F6BECFA01211}"/>
            </a:ext>
          </a:extLst>
        </xdr:cNvPr>
        <xdr:cNvSpPr txBox="1">
          <a:spLocks noChangeArrowheads="1"/>
        </xdr:cNvSpPr>
      </xdr:nvSpPr>
      <xdr:spPr bwMode="auto">
        <a:xfrm>
          <a:off x="2632869" y="17558544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10</xdr:col>
      <xdr:colOff>119064</xdr:colOff>
      <xdr:row>98</xdr:row>
      <xdr:rowOff>95250</xdr:rowOff>
    </xdr:from>
    <xdr:to>
      <xdr:col>17</xdr:col>
      <xdr:colOff>130971</xdr:colOff>
      <xdr:row>109</xdr:row>
      <xdr:rowOff>71439</xdr:rowOff>
    </xdr:to>
    <xdr:sp macro="" textlink="">
      <xdr:nvSpPr>
        <xdr:cNvPr id="15" name="フリーフォーム: 図形 14">
          <a:extLst>
            <a:ext uri="{FF2B5EF4-FFF2-40B4-BE49-F238E27FC236}">
              <a16:creationId xmlns:a16="http://schemas.microsoft.com/office/drawing/2014/main" id="{6A31781D-CFF4-4794-94C5-44725B8CA662}"/>
            </a:ext>
          </a:extLst>
        </xdr:cNvPr>
        <xdr:cNvSpPr/>
      </xdr:nvSpPr>
      <xdr:spPr bwMode="auto">
        <a:xfrm>
          <a:off x="2316164" y="16681450"/>
          <a:ext cx="1612107" cy="1804989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142874</xdr:colOff>
      <xdr:row>19</xdr:row>
      <xdr:rowOff>0</xdr:rowOff>
    </xdr:from>
    <xdr:to>
      <xdr:col>26</xdr:col>
      <xdr:colOff>224029</xdr:colOff>
      <xdr:row>60</xdr:row>
      <xdr:rowOff>142875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44222A7-59E7-4E00-AEB7-E6EE73B7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874" y="3206750"/>
          <a:ext cx="5935855" cy="7178675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16</xdr:row>
      <xdr:rowOff>9525</xdr:rowOff>
    </xdr:from>
    <xdr:to>
      <xdr:col>5</xdr:col>
      <xdr:colOff>123825</xdr:colOff>
      <xdr:row>18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ADE133D-16C8-4FA6-A3DE-F7DCB2AB354C}"/>
            </a:ext>
          </a:extLst>
        </xdr:cNvPr>
        <xdr:cNvSpPr>
          <a:spLocks/>
        </xdr:cNvSpPr>
      </xdr:nvSpPr>
      <xdr:spPr bwMode="auto">
        <a:xfrm>
          <a:off x="1101725" y="26828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25</xdr:col>
      <xdr:colOff>1</xdr:colOff>
      <xdr:row>15</xdr:row>
      <xdr:rowOff>171450</xdr:rowOff>
    </xdr:from>
    <xdr:to>
      <xdr:col>25</xdr:col>
      <xdr:colOff>47626</xdr:colOff>
      <xdr:row>17</xdr:row>
      <xdr:rowOff>161925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676EC61F-F559-482D-953A-9DC303C7A511}"/>
            </a:ext>
          </a:extLst>
        </xdr:cNvPr>
        <xdr:cNvSpPr>
          <a:spLocks/>
        </xdr:cNvSpPr>
      </xdr:nvSpPr>
      <xdr:spPr bwMode="auto">
        <a:xfrm rot="10800000">
          <a:off x="5626101" y="2667000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11</xdr:col>
      <xdr:colOff>207168</xdr:colOff>
      <xdr:row>41</xdr:row>
      <xdr:rowOff>83343</xdr:rowOff>
    </xdr:from>
    <xdr:ext cx="923925" cy="226219"/>
    <xdr:sp macro="" textlink="">
      <xdr:nvSpPr>
        <xdr:cNvPr id="19" name="Text Box 61">
          <a:extLst>
            <a:ext uri="{FF2B5EF4-FFF2-40B4-BE49-F238E27FC236}">
              <a16:creationId xmlns:a16="http://schemas.microsoft.com/office/drawing/2014/main" id="{CD15FE91-5E82-442C-A4E5-474CA3156A44}"/>
            </a:ext>
          </a:extLst>
        </xdr:cNvPr>
        <xdr:cNvSpPr txBox="1">
          <a:spLocks noChangeArrowheads="1"/>
        </xdr:cNvSpPr>
      </xdr:nvSpPr>
      <xdr:spPr bwMode="auto">
        <a:xfrm>
          <a:off x="2632868" y="7074693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72</xdr:col>
      <xdr:colOff>171450</xdr:colOff>
      <xdr:row>26</xdr:row>
      <xdr:rowOff>142875</xdr:rowOff>
    </xdr:from>
    <xdr:to>
      <xdr:col>76</xdr:col>
      <xdr:colOff>104775</xdr:colOff>
      <xdr:row>29</xdr:row>
      <xdr:rowOff>104775</xdr:rowOff>
    </xdr:to>
    <xdr:grpSp>
      <xdr:nvGrpSpPr>
        <xdr:cNvPr id="20" name="Group 661">
          <a:extLst>
            <a:ext uri="{FF2B5EF4-FFF2-40B4-BE49-F238E27FC236}">
              <a16:creationId xmlns:a16="http://schemas.microsoft.com/office/drawing/2014/main" id="{D18DC6F6-BBA6-4298-8065-A4429A514E65}"/>
            </a:ext>
          </a:extLst>
        </xdr:cNvPr>
        <xdr:cNvGrpSpPr>
          <a:grpSpLocks/>
        </xdr:cNvGrpSpPr>
      </xdr:nvGrpSpPr>
      <xdr:grpSpPr bwMode="auto">
        <a:xfrm>
          <a:off x="16236950" y="4413250"/>
          <a:ext cx="1012825" cy="469900"/>
          <a:chOff x="1683" y="115"/>
          <a:chExt cx="105" cy="52"/>
        </a:xfrm>
      </xdr:grpSpPr>
      <xdr:sp macro="" textlink="">
        <xdr:nvSpPr>
          <xdr:cNvPr id="21" name="Line 659">
            <a:extLst>
              <a:ext uri="{FF2B5EF4-FFF2-40B4-BE49-F238E27FC236}">
                <a16:creationId xmlns:a16="http://schemas.microsoft.com/office/drawing/2014/main" id="{BB461463-E343-4773-BE11-3FE40DF2BDA9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Text Box 660">
            <a:extLst>
              <a:ext uri="{FF2B5EF4-FFF2-40B4-BE49-F238E27FC236}">
                <a16:creationId xmlns:a16="http://schemas.microsoft.com/office/drawing/2014/main" id="{7532707D-6730-4445-BB5F-17F4DF645D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5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29</xdr:row>
      <xdr:rowOff>28575</xdr:rowOff>
    </xdr:from>
    <xdr:to>
      <xdr:col>76</xdr:col>
      <xdr:colOff>104775</xdr:colOff>
      <xdr:row>31</xdr:row>
      <xdr:rowOff>142875</xdr:rowOff>
    </xdr:to>
    <xdr:grpSp>
      <xdr:nvGrpSpPr>
        <xdr:cNvPr id="23" name="Group 662">
          <a:extLst>
            <a:ext uri="{FF2B5EF4-FFF2-40B4-BE49-F238E27FC236}">
              <a16:creationId xmlns:a16="http://schemas.microsoft.com/office/drawing/2014/main" id="{D7AC697C-D912-42F4-BB22-F1BA9E7763C9}"/>
            </a:ext>
          </a:extLst>
        </xdr:cNvPr>
        <xdr:cNvGrpSpPr>
          <a:grpSpLocks/>
        </xdr:cNvGrpSpPr>
      </xdr:nvGrpSpPr>
      <xdr:grpSpPr bwMode="auto">
        <a:xfrm>
          <a:off x="16236950" y="4806950"/>
          <a:ext cx="1012825" cy="463550"/>
          <a:chOff x="1683" y="117"/>
          <a:chExt cx="105" cy="50"/>
        </a:xfrm>
      </xdr:grpSpPr>
      <xdr:sp macro="" textlink="">
        <xdr:nvSpPr>
          <xdr:cNvPr id="24" name="Line 663">
            <a:extLst>
              <a:ext uri="{FF2B5EF4-FFF2-40B4-BE49-F238E27FC236}">
                <a16:creationId xmlns:a16="http://schemas.microsoft.com/office/drawing/2014/main" id="{D3E4824E-2102-4258-8F24-36BBBE98FBDD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Text Box 664">
            <a:extLst>
              <a:ext uri="{FF2B5EF4-FFF2-40B4-BE49-F238E27FC236}">
                <a16:creationId xmlns:a16="http://schemas.microsoft.com/office/drawing/2014/main" id="{499EE1DE-032A-46C6-AA16-DF56FC16B3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7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31</xdr:row>
      <xdr:rowOff>28575</xdr:rowOff>
    </xdr:from>
    <xdr:to>
      <xdr:col>76</xdr:col>
      <xdr:colOff>104775</xdr:colOff>
      <xdr:row>33</xdr:row>
      <xdr:rowOff>161925</xdr:rowOff>
    </xdr:to>
    <xdr:grpSp>
      <xdr:nvGrpSpPr>
        <xdr:cNvPr id="26" name="Group 665">
          <a:extLst>
            <a:ext uri="{FF2B5EF4-FFF2-40B4-BE49-F238E27FC236}">
              <a16:creationId xmlns:a16="http://schemas.microsoft.com/office/drawing/2014/main" id="{5D8157B9-3DCC-4DB6-ADB5-4CCD1F0BD2FE}"/>
            </a:ext>
          </a:extLst>
        </xdr:cNvPr>
        <xdr:cNvGrpSpPr>
          <a:grpSpLocks/>
        </xdr:cNvGrpSpPr>
      </xdr:nvGrpSpPr>
      <xdr:grpSpPr bwMode="auto">
        <a:xfrm>
          <a:off x="16236950" y="5156200"/>
          <a:ext cx="1012825" cy="482600"/>
          <a:chOff x="1683" y="115"/>
          <a:chExt cx="105" cy="52"/>
        </a:xfrm>
      </xdr:grpSpPr>
      <xdr:sp macro="" textlink="">
        <xdr:nvSpPr>
          <xdr:cNvPr id="27" name="Line 666">
            <a:extLst>
              <a:ext uri="{FF2B5EF4-FFF2-40B4-BE49-F238E27FC236}">
                <a16:creationId xmlns:a16="http://schemas.microsoft.com/office/drawing/2014/main" id="{7CDE58AD-2BD2-4461-8D87-A483360626C1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Text Box 667">
            <a:extLst>
              <a:ext uri="{FF2B5EF4-FFF2-40B4-BE49-F238E27FC236}">
                <a16:creationId xmlns:a16="http://schemas.microsoft.com/office/drawing/2014/main" id="{4969D0FD-62D1-4CBF-8DEA-6278C1ED65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5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33</xdr:row>
      <xdr:rowOff>28575</xdr:rowOff>
    </xdr:from>
    <xdr:to>
      <xdr:col>76</xdr:col>
      <xdr:colOff>104775</xdr:colOff>
      <xdr:row>35</xdr:row>
      <xdr:rowOff>171450</xdr:rowOff>
    </xdr:to>
    <xdr:grpSp>
      <xdr:nvGrpSpPr>
        <xdr:cNvPr id="29" name="Group 668">
          <a:extLst>
            <a:ext uri="{FF2B5EF4-FFF2-40B4-BE49-F238E27FC236}">
              <a16:creationId xmlns:a16="http://schemas.microsoft.com/office/drawing/2014/main" id="{14C0E784-5DF5-460B-9DDF-35942D25C486}"/>
            </a:ext>
          </a:extLst>
        </xdr:cNvPr>
        <xdr:cNvGrpSpPr>
          <a:grpSpLocks/>
        </xdr:cNvGrpSpPr>
      </xdr:nvGrpSpPr>
      <xdr:grpSpPr bwMode="auto">
        <a:xfrm>
          <a:off x="16236950" y="5505450"/>
          <a:ext cx="1012825" cy="492125"/>
          <a:chOff x="1683" y="114"/>
          <a:chExt cx="105" cy="53"/>
        </a:xfrm>
      </xdr:grpSpPr>
      <xdr:sp macro="" textlink="">
        <xdr:nvSpPr>
          <xdr:cNvPr id="30" name="Line 669">
            <a:extLst>
              <a:ext uri="{FF2B5EF4-FFF2-40B4-BE49-F238E27FC236}">
                <a16:creationId xmlns:a16="http://schemas.microsoft.com/office/drawing/2014/main" id="{A6B96609-CA12-4FCE-A98A-E790EC6A92D8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Text Box 670">
            <a:extLst>
              <a:ext uri="{FF2B5EF4-FFF2-40B4-BE49-F238E27FC236}">
                <a16:creationId xmlns:a16="http://schemas.microsoft.com/office/drawing/2014/main" id="{F0E74926-371E-4449-AFE9-A5ED17764E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4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28</xdr:row>
      <xdr:rowOff>0</xdr:rowOff>
    </xdr:from>
    <xdr:to>
      <xdr:col>78</xdr:col>
      <xdr:colOff>66675</xdr:colOff>
      <xdr:row>30</xdr:row>
      <xdr:rowOff>123825</xdr:rowOff>
    </xdr:to>
    <xdr:grpSp>
      <xdr:nvGrpSpPr>
        <xdr:cNvPr id="32" name="Group 674">
          <a:extLst>
            <a:ext uri="{FF2B5EF4-FFF2-40B4-BE49-F238E27FC236}">
              <a16:creationId xmlns:a16="http://schemas.microsoft.com/office/drawing/2014/main" id="{094A2EBE-2B07-44E6-B3AF-6B7D7DA7D3E8}"/>
            </a:ext>
          </a:extLst>
        </xdr:cNvPr>
        <xdr:cNvGrpSpPr>
          <a:grpSpLocks/>
        </xdr:cNvGrpSpPr>
      </xdr:nvGrpSpPr>
      <xdr:grpSpPr bwMode="auto">
        <a:xfrm>
          <a:off x="16776700" y="4603750"/>
          <a:ext cx="974725" cy="473075"/>
          <a:chOff x="1889" y="116"/>
          <a:chExt cx="101" cy="51"/>
        </a:xfrm>
      </xdr:grpSpPr>
      <xdr:sp macro="" textlink="">
        <xdr:nvSpPr>
          <xdr:cNvPr id="33" name="Line 672">
            <a:extLst>
              <a:ext uri="{FF2B5EF4-FFF2-40B4-BE49-F238E27FC236}">
                <a16:creationId xmlns:a16="http://schemas.microsoft.com/office/drawing/2014/main" id="{EAD81B2B-1C93-4B71-A755-4551DF319D1D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Text Box 673">
            <a:extLst>
              <a:ext uri="{FF2B5EF4-FFF2-40B4-BE49-F238E27FC236}">
                <a16:creationId xmlns:a16="http://schemas.microsoft.com/office/drawing/2014/main" id="{F3C6F4E9-1A2A-4299-84B6-7435F21AD1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6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30</xdr:row>
      <xdr:rowOff>28575</xdr:rowOff>
    </xdr:from>
    <xdr:to>
      <xdr:col>78</xdr:col>
      <xdr:colOff>66675</xdr:colOff>
      <xdr:row>32</xdr:row>
      <xdr:rowOff>161925</xdr:rowOff>
    </xdr:to>
    <xdr:grpSp>
      <xdr:nvGrpSpPr>
        <xdr:cNvPr id="35" name="Group 675">
          <a:extLst>
            <a:ext uri="{FF2B5EF4-FFF2-40B4-BE49-F238E27FC236}">
              <a16:creationId xmlns:a16="http://schemas.microsoft.com/office/drawing/2014/main" id="{AA8E1471-3008-4C51-8D88-DEE36284178C}"/>
            </a:ext>
          </a:extLst>
        </xdr:cNvPr>
        <xdr:cNvGrpSpPr>
          <a:grpSpLocks/>
        </xdr:cNvGrpSpPr>
      </xdr:nvGrpSpPr>
      <xdr:grpSpPr bwMode="auto">
        <a:xfrm>
          <a:off x="16776700" y="4981575"/>
          <a:ext cx="974725" cy="482600"/>
          <a:chOff x="1889" y="115"/>
          <a:chExt cx="101" cy="52"/>
        </a:xfrm>
      </xdr:grpSpPr>
      <xdr:sp macro="" textlink="">
        <xdr:nvSpPr>
          <xdr:cNvPr id="36" name="Line 676">
            <a:extLst>
              <a:ext uri="{FF2B5EF4-FFF2-40B4-BE49-F238E27FC236}">
                <a16:creationId xmlns:a16="http://schemas.microsoft.com/office/drawing/2014/main" id="{C2CCB193-BE2A-434B-8DF1-82E1728D0B4C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Text Box 677">
            <a:extLst>
              <a:ext uri="{FF2B5EF4-FFF2-40B4-BE49-F238E27FC236}">
                <a16:creationId xmlns:a16="http://schemas.microsoft.com/office/drawing/2014/main" id="{3F068290-338F-42C9-B275-5FE5A2B833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5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32</xdr:row>
      <xdr:rowOff>47625</xdr:rowOff>
    </xdr:from>
    <xdr:to>
      <xdr:col>78</xdr:col>
      <xdr:colOff>66675</xdr:colOff>
      <xdr:row>35</xdr:row>
      <xdr:rowOff>0</xdr:rowOff>
    </xdr:to>
    <xdr:grpSp>
      <xdr:nvGrpSpPr>
        <xdr:cNvPr id="38" name="Group 687">
          <a:extLst>
            <a:ext uri="{FF2B5EF4-FFF2-40B4-BE49-F238E27FC236}">
              <a16:creationId xmlns:a16="http://schemas.microsoft.com/office/drawing/2014/main" id="{233BFE67-0BC8-4F0B-970C-A1CF13FFD0AF}"/>
            </a:ext>
          </a:extLst>
        </xdr:cNvPr>
        <xdr:cNvGrpSpPr>
          <a:grpSpLocks/>
        </xdr:cNvGrpSpPr>
      </xdr:nvGrpSpPr>
      <xdr:grpSpPr bwMode="auto">
        <a:xfrm>
          <a:off x="16776700" y="5349875"/>
          <a:ext cx="974725" cy="476250"/>
          <a:chOff x="1889" y="115"/>
          <a:chExt cx="101" cy="52"/>
        </a:xfrm>
      </xdr:grpSpPr>
      <xdr:sp macro="" textlink="">
        <xdr:nvSpPr>
          <xdr:cNvPr id="39" name="Line 688">
            <a:extLst>
              <a:ext uri="{FF2B5EF4-FFF2-40B4-BE49-F238E27FC236}">
                <a16:creationId xmlns:a16="http://schemas.microsoft.com/office/drawing/2014/main" id="{A8909D2A-CE49-46BE-AB4A-A73A63C9A311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Text Box 689">
            <a:extLst>
              <a:ext uri="{FF2B5EF4-FFF2-40B4-BE49-F238E27FC236}">
                <a16:creationId xmlns:a16="http://schemas.microsoft.com/office/drawing/2014/main" id="{8ACA91D2-C3C0-440B-B6C2-D7D96D3CDC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5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34</xdr:row>
      <xdr:rowOff>76200</xdr:rowOff>
    </xdr:from>
    <xdr:to>
      <xdr:col>78</xdr:col>
      <xdr:colOff>66675</xdr:colOff>
      <xdr:row>37</xdr:row>
      <xdr:rowOff>9525</xdr:rowOff>
    </xdr:to>
    <xdr:grpSp>
      <xdr:nvGrpSpPr>
        <xdr:cNvPr id="41" name="Group 690">
          <a:extLst>
            <a:ext uri="{FF2B5EF4-FFF2-40B4-BE49-F238E27FC236}">
              <a16:creationId xmlns:a16="http://schemas.microsoft.com/office/drawing/2014/main" id="{F549824B-0849-4846-95A6-88AE44986C9A}"/>
            </a:ext>
          </a:extLst>
        </xdr:cNvPr>
        <xdr:cNvGrpSpPr>
          <a:grpSpLocks/>
        </xdr:cNvGrpSpPr>
      </xdr:nvGrpSpPr>
      <xdr:grpSpPr bwMode="auto">
        <a:xfrm>
          <a:off x="16776700" y="5727700"/>
          <a:ext cx="974725" cy="457200"/>
          <a:chOff x="1889" y="117"/>
          <a:chExt cx="101" cy="50"/>
        </a:xfrm>
      </xdr:grpSpPr>
      <xdr:sp macro="" textlink="">
        <xdr:nvSpPr>
          <xdr:cNvPr id="42" name="Line 691">
            <a:extLst>
              <a:ext uri="{FF2B5EF4-FFF2-40B4-BE49-F238E27FC236}">
                <a16:creationId xmlns:a16="http://schemas.microsoft.com/office/drawing/2014/main" id="{91C1371E-8AC5-4AEB-AA96-C0E5FE28B400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Text Box 692">
            <a:extLst>
              <a:ext uri="{FF2B5EF4-FFF2-40B4-BE49-F238E27FC236}">
                <a16:creationId xmlns:a16="http://schemas.microsoft.com/office/drawing/2014/main" id="{E2D172A1-DD5F-4FF8-9420-DE69C50A75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7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oneCellAnchor>
    <xdr:from>
      <xdr:col>74</xdr:col>
      <xdr:colOff>142875</xdr:colOff>
      <xdr:row>9</xdr:row>
      <xdr:rowOff>28575</xdr:rowOff>
    </xdr:from>
    <xdr:ext cx="719138" cy="226219"/>
    <xdr:sp macro="" textlink="">
      <xdr:nvSpPr>
        <xdr:cNvPr id="44" name="Text Box 693">
          <a:extLst>
            <a:ext uri="{FF2B5EF4-FFF2-40B4-BE49-F238E27FC236}">
              <a16:creationId xmlns:a16="http://schemas.microsoft.com/office/drawing/2014/main" id="{9E3C85DD-D6CB-4915-9072-A5E5C01FFBFE}"/>
            </a:ext>
          </a:extLst>
        </xdr:cNvPr>
        <xdr:cNvSpPr txBox="1">
          <a:spLocks noChangeArrowheads="1"/>
        </xdr:cNvSpPr>
      </xdr:nvSpPr>
      <xdr:spPr bwMode="auto">
        <a:xfrm>
          <a:off x="17294225" y="1457325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8</xdr:row>
      <xdr:rowOff>57150</xdr:rowOff>
    </xdr:from>
    <xdr:to>
      <xdr:col>78</xdr:col>
      <xdr:colOff>247650</xdr:colOff>
      <xdr:row>11</xdr:row>
      <xdr:rowOff>66675</xdr:rowOff>
    </xdr:to>
    <xdr:sp macro="" textlink="">
      <xdr:nvSpPr>
        <xdr:cNvPr id="45" name="Freeform 694">
          <a:extLst>
            <a:ext uri="{FF2B5EF4-FFF2-40B4-BE49-F238E27FC236}">
              <a16:creationId xmlns:a16="http://schemas.microsoft.com/office/drawing/2014/main" id="{BD43E6D3-0DC0-43FD-A7B3-5B1861E71818}"/>
            </a:ext>
          </a:extLst>
        </xdr:cNvPr>
        <xdr:cNvSpPr>
          <a:spLocks/>
        </xdr:cNvSpPr>
      </xdr:nvSpPr>
      <xdr:spPr bwMode="auto">
        <a:xfrm>
          <a:off x="16837025" y="1257300"/>
          <a:ext cx="1628775" cy="593725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13</xdr:row>
      <xdr:rowOff>0</xdr:rowOff>
    </xdr:from>
    <xdr:ext cx="719138" cy="226219"/>
    <xdr:sp macro="" textlink="">
      <xdr:nvSpPr>
        <xdr:cNvPr id="46" name="Text Box 695">
          <a:extLst>
            <a:ext uri="{FF2B5EF4-FFF2-40B4-BE49-F238E27FC236}">
              <a16:creationId xmlns:a16="http://schemas.microsoft.com/office/drawing/2014/main" id="{2F9FBF5E-90F4-4207-A793-4B6BF4E3A287}"/>
            </a:ext>
          </a:extLst>
        </xdr:cNvPr>
        <xdr:cNvSpPr txBox="1">
          <a:spLocks noChangeArrowheads="1"/>
        </xdr:cNvSpPr>
      </xdr:nvSpPr>
      <xdr:spPr bwMode="auto">
        <a:xfrm>
          <a:off x="17294225" y="2139950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12</xdr:row>
      <xdr:rowOff>0</xdr:rowOff>
    </xdr:from>
    <xdr:to>
      <xdr:col>78</xdr:col>
      <xdr:colOff>247650</xdr:colOff>
      <xdr:row>15</xdr:row>
      <xdr:rowOff>0</xdr:rowOff>
    </xdr:to>
    <xdr:sp macro="" textlink="">
      <xdr:nvSpPr>
        <xdr:cNvPr id="47" name="Freeform 696">
          <a:extLst>
            <a:ext uri="{FF2B5EF4-FFF2-40B4-BE49-F238E27FC236}">
              <a16:creationId xmlns:a16="http://schemas.microsoft.com/office/drawing/2014/main" id="{2D467554-0200-4D3C-B8D4-D1A1A79B397D}"/>
            </a:ext>
          </a:extLst>
        </xdr:cNvPr>
        <xdr:cNvSpPr>
          <a:spLocks/>
        </xdr:cNvSpPr>
      </xdr:nvSpPr>
      <xdr:spPr bwMode="auto">
        <a:xfrm>
          <a:off x="16837025" y="1962150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16</xdr:row>
      <xdr:rowOff>76200</xdr:rowOff>
    </xdr:from>
    <xdr:ext cx="719138" cy="226219"/>
    <xdr:sp macro="" textlink="">
      <xdr:nvSpPr>
        <xdr:cNvPr id="48" name="Text Box 697">
          <a:extLst>
            <a:ext uri="{FF2B5EF4-FFF2-40B4-BE49-F238E27FC236}">
              <a16:creationId xmlns:a16="http://schemas.microsoft.com/office/drawing/2014/main" id="{65B7B723-B4BB-45C7-B915-653EFFDB70E6}"/>
            </a:ext>
          </a:extLst>
        </xdr:cNvPr>
        <xdr:cNvSpPr txBox="1">
          <a:spLocks noChangeArrowheads="1"/>
        </xdr:cNvSpPr>
      </xdr:nvSpPr>
      <xdr:spPr bwMode="auto">
        <a:xfrm>
          <a:off x="17294225" y="2749550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15</xdr:row>
      <xdr:rowOff>123825</xdr:rowOff>
    </xdr:from>
    <xdr:to>
      <xdr:col>78</xdr:col>
      <xdr:colOff>247650</xdr:colOff>
      <xdr:row>18</xdr:row>
      <xdr:rowOff>123825</xdr:rowOff>
    </xdr:to>
    <xdr:sp macro="" textlink="">
      <xdr:nvSpPr>
        <xdr:cNvPr id="49" name="Freeform 698">
          <a:extLst>
            <a:ext uri="{FF2B5EF4-FFF2-40B4-BE49-F238E27FC236}">
              <a16:creationId xmlns:a16="http://schemas.microsoft.com/office/drawing/2014/main" id="{712719A6-432B-4C1C-A230-B7C18BC9FD99}"/>
            </a:ext>
          </a:extLst>
        </xdr:cNvPr>
        <xdr:cNvSpPr>
          <a:spLocks/>
        </xdr:cNvSpPr>
      </xdr:nvSpPr>
      <xdr:spPr bwMode="auto">
        <a:xfrm>
          <a:off x="16837025" y="2619375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20</xdr:row>
      <xdr:rowOff>28575</xdr:rowOff>
    </xdr:from>
    <xdr:ext cx="719138" cy="226219"/>
    <xdr:sp macro="" textlink="">
      <xdr:nvSpPr>
        <xdr:cNvPr id="50" name="Text Box 699">
          <a:extLst>
            <a:ext uri="{FF2B5EF4-FFF2-40B4-BE49-F238E27FC236}">
              <a16:creationId xmlns:a16="http://schemas.microsoft.com/office/drawing/2014/main" id="{AEE6E541-8205-43F4-A271-1615A61DD9FC}"/>
            </a:ext>
          </a:extLst>
        </xdr:cNvPr>
        <xdr:cNvSpPr txBox="1">
          <a:spLocks noChangeArrowheads="1"/>
        </xdr:cNvSpPr>
      </xdr:nvSpPr>
      <xdr:spPr bwMode="auto">
        <a:xfrm>
          <a:off x="17294225" y="3413125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19</xdr:row>
      <xdr:rowOff>57150</xdr:rowOff>
    </xdr:from>
    <xdr:to>
      <xdr:col>78</xdr:col>
      <xdr:colOff>247650</xdr:colOff>
      <xdr:row>22</xdr:row>
      <xdr:rowOff>57150</xdr:rowOff>
    </xdr:to>
    <xdr:sp macro="" textlink="">
      <xdr:nvSpPr>
        <xdr:cNvPr id="51" name="Freeform 700">
          <a:extLst>
            <a:ext uri="{FF2B5EF4-FFF2-40B4-BE49-F238E27FC236}">
              <a16:creationId xmlns:a16="http://schemas.microsoft.com/office/drawing/2014/main" id="{D5ECD9F9-E9C7-4537-A71C-FAC0D17BF9A7}"/>
            </a:ext>
          </a:extLst>
        </xdr:cNvPr>
        <xdr:cNvSpPr>
          <a:spLocks/>
        </xdr:cNvSpPr>
      </xdr:nvSpPr>
      <xdr:spPr bwMode="auto">
        <a:xfrm>
          <a:off x="16837025" y="3263900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78</xdr:row>
      <xdr:rowOff>9525</xdr:rowOff>
    </xdr:from>
    <xdr:to>
      <xdr:col>5</xdr:col>
      <xdr:colOff>123825</xdr:colOff>
      <xdr:row>80</xdr:row>
      <xdr:rowOff>0</xdr:rowOff>
    </xdr:to>
    <xdr:sp macro="" textlink="">
      <xdr:nvSpPr>
        <xdr:cNvPr id="52" name="AutoShape 1063">
          <a:extLst>
            <a:ext uri="{FF2B5EF4-FFF2-40B4-BE49-F238E27FC236}">
              <a16:creationId xmlns:a16="http://schemas.microsoft.com/office/drawing/2014/main" id="{72F8C5AD-D37F-4849-B475-6AC86C73145E}"/>
            </a:ext>
          </a:extLst>
        </xdr:cNvPr>
        <xdr:cNvSpPr>
          <a:spLocks/>
        </xdr:cNvSpPr>
      </xdr:nvSpPr>
      <xdr:spPr bwMode="auto">
        <a:xfrm>
          <a:off x="1101725" y="131667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78</xdr:row>
      <xdr:rowOff>9525</xdr:rowOff>
    </xdr:from>
    <xdr:to>
      <xdr:col>25</xdr:col>
      <xdr:colOff>28575</xdr:colOff>
      <xdr:row>80</xdr:row>
      <xdr:rowOff>0</xdr:rowOff>
    </xdr:to>
    <xdr:sp macro="" textlink="">
      <xdr:nvSpPr>
        <xdr:cNvPr id="53" name="AutoShape 1064">
          <a:extLst>
            <a:ext uri="{FF2B5EF4-FFF2-40B4-BE49-F238E27FC236}">
              <a16:creationId xmlns:a16="http://schemas.microsoft.com/office/drawing/2014/main" id="{FA047DD5-3ADD-4720-A1AD-EB2AD4120243}"/>
            </a:ext>
          </a:extLst>
        </xdr:cNvPr>
        <xdr:cNvSpPr>
          <a:spLocks/>
        </xdr:cNvSpPr>
      </xdr:nvSpPr>
      <xdr:spPr bwMode="auto">
        <a:xfrm rot="10800000">
          <a:off x="5607050" y="131667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140</xdr:row>
      <xdr:rowOff>9525</xdr:rowOff>
    </xdr:from>
    <xdr:to>
      <xdr:col>5</xdr:col>
      <xdr:colOff>123825</xdr:colOff>
      <xdr:row>142</xdr:row>
      <xdr:rowOff>0</xdr:rowOff>
    </xdr:to>
    <xdr:sp macro="" textlink="">
      <xdr:nvSpPr>
        <xdr:cNvPr id="54" name="AutoShape 1065">
          <a:extLst>
            <a:ext uri="{FF2B5EF4-FFF2-40B4-BE49-F238E27FC236}">
              <a16:creationId xmlns:a16="http://schemas.microsoft.com/office/drawing/2014/main" id="{252F97BD-3BFD-4055-B1C7-80090A8FA22F}"/>
            </a:ext>
          </a:extLst>
        </xdr:cNvPr>
        <xdr:cNvSpPr>
          <a:spLocks/>
        </xdr:cNvSpPr>
      </xdr:nvSpPr>
      <xdr:spPr bwMode="auto">
        <a:xfrm>
          <a:off x="1101725" y="236505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140</xdr:row>
      <xdr:rowOff>9525</xdr:rowOff>
    </xdr:from>
    <xdr:to>
      <xdr:col>25</xdr:col>
      <xdr:colOff>28575</xdr:colOff>
      <xdr:row>142</xdr:row>
      <xdr:rowOff>0</xdr:rowOff>
    </xdr:to>
    <xdr:sp macro="" textlink="">
      <xdr:nvSpPr>
        <xdr:cNvPr id="55" name="AutoShape 1066">
          <a:extLst>
            <a:ext uri="{FF2B5EF4-FFF2-40B4-BE49-F238E27FC236}">
              <a16:creationId xmlns:a16="http://schemas.microsoft.com/office/drawing/2014/main" id="{DC3E4319-1CCE-4B68-87F1-9C2D7D200EED}"/>
            </a:ext>
          </a:extLst>
        </xdr:cNvPr>
        <xdr:cNvSpPr>
          <a:spLocks/>
        </xdr:cNvSpPr>
      </xdr:nvSpPr>
      <xdr:spPr bwMode="auto">
        <a:xfrm rot="10800000">
          <a:off x="5607050" y="2365057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202</xdr:row>
      <xdr:rowOff>9525</xdr:rowOff>
    </xdr:from>
    <xdr:to>
      <xdr:col>5</xdr:col>
      <xdr:colOff>123825</xdr:colOff>
      <xdr:row>204</xdr:row>
      <xdr:rowOff>0</xdr:rowOff>
    </xdr:to>
    <xdr:sp macro="" textlink="">
      <xdr:nvSpPr>
        <xdr:cNvPr id="56" name="AutoShape 1067">
          <a:extLst>
            <a:ext uri="{FF2B5EF4-FFF2-40B4-BE49-F238E27FC236}">
              <a16:creationId xmlns:a16="http://schemas.microsoft.com/office/drawing/2014/main" id="{2D9E76E3-C1DA-417F-95D4-55F9E08291D2}"/>
            </a:ext>
          </a:extLst>
        </xdr:cNvPr>
        <xdr:cNvSpPr>
          <a:spLocks/>
        </xdr:cNvSpPr>
      </xdr:nvSpPr>
      <xdr:spPr bwMode="auto">
        <a:xfrm>
          <a:off x="1101725" y="341344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202</xdr:row>
      <xdr:rowOff>9525</xdr:rowOff>
    </xdr:from>
    <xdr:to>
      <xdr:col>25</xdr:col>
      <xdr:colOff>28575</xdr:colOff>
      <xdr:row>204</xdr:row>
      <xdr:rowOff>0</xdr:rowOff>
    </xdr:to>
    <xdr:sp macro="" textlink="">
      <xdr:nvSpPr>
        <xdr:cNvPr id="57" name="AutoShape 1068">
          <a:extLst>
            <a:ext uri="{FF2B5EF4-FFF2-40B4-BE49-F238E27FC236}">
              <a16:creationId xmlns:a16="http://schemas.microsoft.com/office/drawing/2014/main" id="{E1F13123-682D-49BB-8419-5A001F430EFC}"/>
            </a:ext>
          </a:extLst>
        </xdr:cNvPr>
        <xdr:cNvSpPr>
          <a:spLocks/>
        </xdr:cNvSpPr>
      </xdr:nvSpPr>
      <xdr:spPr bwMode="auto">
        <a:xfrm rot="10800000">
          <a:off x="5607050" y="341344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264</xdr:row>
      <xdr:rowOff>9525</xdr:rowOff>
    </xdr:from>
    <xdr:to>
      <xdr:col>5</xdr:col>
      <xdr:colOff>123825</xdr:colOff>
      <xdr:row>266</xdr:row>
      <xdr:rowOff>0</xdr:rowOff>
    </xdr:to>
    <xdr:sp macro="" textlink="">
      <xdr:nvSpPr>
        <xdr:cNvPr id="58" name="AutoShape 1069">
          <a:extLst>
            <a:ext uri="{FF2B5EF4-FFF2-40B4-BE49-F238E27FC236}">
              <a16:creationId xmlns:a16="http://schemas.microsoft.com/office/drawing/2014/main" id="{B6EEF6E4-7B90-46A1-B9BC-72DB9ACF6A75}"/>
            </a:ext>
          </a:extLst>
        </xdr:cNvPr>
        <xdr:cNvSpPr>
          <a:spLocks/>
        </xdr:cNvSpPr>
      </xdr:nvSpPr>
      <xdr:spPr bwMode="auto">
        <a:xfrm>
          <a:off x="1101725" y="446182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264</xdr:row>
      <xdr:rowOff>9525</xdr:rowOff>
    </xdr:from>
    <xdr:to>
      <xdr:col>25</xdr:col>
      <xdr:colOff>28575</xdr:colOff>
      <xdr:row>266</xdr:row>
      <xdr:rowOff>0</xdr:rowOff>
    </xdr:to>
    <xdr:sp macro="" textlink="">
      <xdr:nvSpPr>
        <xdr:cNvPr id="59" name="AutoShape 1070">
          <a:extLst>
            <a:ext uri="{FF2B5EF4-FFF2-40B4-BE49-F238E27FC236}">
              <a16:creationId xmlns:a16="http://schemas.microsoft.com/office/drawing/2014/main" id="{E979D521-407D-4CEA-B00D-551856CB06F7}"/>
            </a:ext>
          </a:extLst>
        </xdr:cNvPr>
        <xdr:cNvSpPr>
          <a:spLocks/>
        </xdr:cNvSpPr>
      </xdr:nvSpPr>
      <xdr:spPr bwMode="auto">
        <a:xfrm rot="10800000">
          <a:off x="5607050" y="4461827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326</xdr:row>
      <xdr:rowOff>9525</xdr:rowOff>
    </xdr:from>
    <xdr:to>
      <xdr:col>5</xdr:col>
      <xdr:colOff>123825</xdr:colOff>
      <xdr:row>328</xdr:row>
      <xdr:rowOff>0</xdr:rowOff>
    </xdr:to>
    <xdr:sp macro="" textlink="">
      <xdr:nvSpPr>
        <xdr:cNvPr id="60" name="AutoShape 1119">
          <a:extLst>
            <a:ext uri="{FF2B5EF4-FFF2-40B4-BE49-F238E27FC236}">
              <a16:creationId xmlns:a16="http://schemas.microsoft.com/office/drawing/2014/main" id="{85532436-2790-499D-BE7B-53ECBC8D423D}"/>
            </a:ext>
          </a:extLst>
        </xdr:cNvPr>
        <xdr:cNvSpPr>
          <a:spLocks/>
        </xdr:cNvSpPr>
      </xdr:nvSpPr>
      <xdr:spPr bwMode="auto">
        <a:xfrm>
          <a:off x="1101725" y="551021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326</xdr:row>
      <xdr:rowOff>9525</xdr:rowOff>
    </xdr:from>
    <xdr:to>
      <xdr:col>25</xdr:col>
      <xdr:colOff>28575</xdr:colOff>
      <xdr:row>328</xdr:row>
      <xdr:rowOff>0</xdr:rowOff>
    </xdr:to>
    <xdr:sp macro="" textlink="">
      <xdr:nvSpPr>
        <xdr:cNvPr id="61" name="AutoShape 1120">
          <a:extLst>
            <a:ext uri="{FF2B5EF4-FFF2-40B4-BE49-F238E27FC236}">
              <a16:creationId xmlns:a16="http://schemas.microsoft.com/office/drawing/2014/main" id="{31C54F9F-800F-43CF-A873-BE2E14AA8764}"/>
            </a:ext>
          </a:extLst>
        </xdr:cNvPr>
        <xdr:cNvSpPr>
          <a:spLocks/>
        </xdr:cNvSpPr>
      </xdr:nvSpPr>
      <xdr:spPr bwMode="auto">
        <a:xfrm rot="10800000">
          <a:off x="5607050" y="551021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38</xdr:col>
      <xdr:colOff>64294</xdr:colOff>
      <xdr:row>14</xdr:row>
      <xdr:rowOff>1</xdr:rowOff>
    </xdr:from>
    <xdr:to>
      <xdr:col>42</xdr:col>
      <xdr:colOff>16669</xdr:colOff>
      <xdr:row>16</xdr:row>
      <xdr:rowOff>130969</xdr:rowOff>
    </xdr:to>
    <xdr:grpSp>
      <xdr:nvGrpSpPr>
        <xdr:cNvPr id="62" name="Group 1196">
          <a:extLst>
            <a:ext uri="{FF2B5EF4-FFF2-40B4-BE49-F238E27FC236}">
              <a16:creationId xmlns:a16="http://schemas.microsoft.com/office/drawing/2014/main" id="{E005BF8A-097A-4F58-B3CF-57A5CEC84493}"/>
            </a:ext>
          </a:extLst>
        </xdr:cNvPr>
        <xdr:cNvGrpSpPr>
          <a:grpSpLocks/>
        </xdr:cNvGrpSpPr>
      </xdr:nvGrpSpPr>
      <xdr:grpSpPr bwMode="auto">
        <a:xfrm>
          <a:off x="8271669" y="2301876"/>
          <a:ext cx="841375" cy="480218"/>
          <a:chOff x="1148" y="209"/>
          <a:chExt cx="95" cy="52"/>
        </a:xfrm>
      </xdr:grpSpPr>
      <xdr:sp macro="" textlink="">
        <xdr:nvSpPr>
          <xdr:cNvPr id="63" name="Line 1197">
            <a:extLst>
              <a:ext uri="{FF2B5EF4-FFF2-40B4-BE49-F238E27FC236}">
                <a16:creationId xmlns:a16="http://schemas.microsoft.com/office/drawing/2014/main" id="{A5742F63-0E2F-4069-882A-BE8C845A3A41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Text Box 1198">
            <a:extLst>
              <a:ext uri="{FF2B5EF4-FFF2-40B4-BE49-F238E27FC236}">
                <a16:creationId xmlns:a16="http://schemas.microsoft.com/office/drawing/2014/main" id="{DD0589F7-5FDC-4525-AF0A-D10D3AFCA7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48</xdr:col>
      <xdr:colOff>147637</xdr:colOff>
      <xdr:row>13</xdr:row>
      <xdr:rowOff>71438</xdr:rowOff>
    </xdr:from>
    <xdr:to>
      <xdr:col>52</xdr:col>
      <xdr:colOff>4762</xdr:colOff>
      <xdr:row>16</xdr:row>
      <xdr:rowOff>23813</xdr:rowOff>
    </xdr:to>
    <xdr:grpSp>
      <xdr:nvGrpSpPr>
        <xdr:cNvPr id="65" name="Group 1202">
          <a:extLst>
            <a:ext uri="{FF2B5EF4-FFF2-40B4-BE49-F238E27FC236}">
              <a16:creationId xmlns:a16="http://schemas.microsoft.com/office/drawing/2014/main" id="{D82421DC-F761-43DC-A268-6E83C8024F7D}"/>
            </a:ext>
          </a:extLst>
        </xdr:cNvPr>
        <xdr:cNvGrpSpPr>
          <a:grpSpLocks/>
        </xdr:cNvGrpSpPr>
      </xdr:nvGrpSpPr>
      <xdr:grpSpPr bwMode="auto">
        <a:xfrm>
          <a:off x="10577512" y="2198688"/>
          <a:ext cx="746125" cy="476250"/>
          <a:chOff x="1148" y="209"/>
          <a:chExt cx="95" cy="52"/>
        </a:xfrm>
      </xdr:grpSpPr>
      <xdr:sp macro="" textlink="">
        <xdr:nvSpPr>
          <xdr:cNvPr id="66" name="Line 1203">
            <a:extLst>
              <a:ext uri="{FF2B5EF4-FFF2-40B4-BE49-F238E27FC236}">
                <a16:creationId xmlns:a16="http://schemas.microsoft.com/office/drawing/2014/main" id="{4EA98212-A21E-429F-AA76-EBFA9D25F518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Text Box 1204">
            <a:extLst>
              <a:ext uri="{FF2B5EF4-FFF2-40B4-BE49-F238E27FC236}">
                <a16:creationId xmlns:a16="http://schemas.microsoft.com/office/drawing/2014/main" id="{20CE11DE-C43C-42D1-822E-E322AE7EDA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34</xdr:col>
      <xdr:colOff>164307</xdr:colOff>
      <xdr:row>29</xdr:row>
      <xdr:rowOff>59531</xdr:rowOff>
    </xdr:from>
    <xdr:to>
      <xdr:col>38</xdr:col>
      <xdr:colOff>230982</xdr:colOff>
      <xdr:row>31</xdr:row>
      <xdr:rowOff>171450</xdr:rowOff>
    </xdr:to>
    <xdr:grpSp>
      <xdr:nvGrpSpPr>
        <xdr:cNvPr id="68" name="Group 1205">
          <a:extLst>
            <a:ext uri="{FF2B5EF4-FFF2-40B4-BE49-F238E27FC236}">
              <a16:creationId xmlns:a16="http://schemas.microsoft.com/office/drawing/2014/main" id="{99C67B4C-50F7-46D2-AB91-7702316E263E}"/>
            </a:ext>
          </a:extLst>
        </xdr:cNvPr>
        <xdr:cNvGrpSpPr>
          <a:grpSpLocks/>
        </xdr:cNvGrpSpPr>
      </xdr:nvGrpSpPr>
      <xdr:grpSpPr bwMode="auto">
        <a:xfrm>
          <a:off x="7482682" y="4837906"/>
          <a:ext cx="955675" cy="461169"/>
          <a:chOff x="986" y="117"/>
          <a:chExt cx="107" cy="50"/>
        </a:xfrm>
      </xdr:grpSpPr>
      <xdr:sp macro="" textlink="">
        <xdr:nvSpPr>
          <xdr:cNvPr id="69" name="Line 1206">
            <a:extLst>
              <a:ext uri="{FF2B5EF4-FFF2-40B4-BE49-F238E27FC236}">
                <a16:creationId xmlns:a16="http://schemas.microsoft.com/office/drawing/2014/main" id="{2F28C96E-1930-4CAD-AA8F-0B221CE9247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Text Box 1207">
            <a:extLst>
              <a:ext uri="{FF2B5EF4-FFF2-40B4-BE49-F238E27FC236}">
                <a16:creationId xmlns:a16="http://schemas.microsoft.com/office/drawing/2014/main" id="{D9F43336-EDC2-4F45-B9A1-1BB043B399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48</xdr:col>
      <xdr:colOff>69056</xdr:colOff>
      <xdr:row>30</xdr:row>
      <xdr:rowOff>142874</xdr:rowOff>
    </xdr:from>
    <xdr:to>
      <xdr:col>52</xdr:col>
      <xdr:colOff>135731</xdr:colOff>
      <xdr:row>33</xdr:row>
      <xdr:rowOff>76199</xdr:rowOff>
    </xdr:to>
    <xdr:grpSp>
      <xdr:nvGrpSpPr>
        <xdr:cNvPr id="71" name="Group 1211">
          <a:extLst>
            <a:ext uri="{FF2B5EF4-FFF2-40B4-BE49-F238E27FC236}">
              <a16:creationId xmlns:a16="http://schemas.microsoft.com/office/drawing/2014/main" id="{62EA50F7-9BD8-4A92-9E4D-E1EFB065FD15}"/>
            </a:ext>
          </a:extLst>
        </xdr:cNvPr>
        <xdr:cNvGrpSpPr>
          <a:grpSpLocks/>
        </xdr:cNvGrpSpPr>
      </xdr:nvGrpSpPr>
      <xdr:grpSpPr bwMode="auto">
        <a:xfrm>
          <a:off x="10498931" y="5095874"/>
          <a:ext cx="955675" cy="457200"/>
          <a:chOff x="986" y="117"/>
          <a:chExt cx="107" cy="50"/>
        </a:xfrm>
      </xdr:grpSpPr>
      <xdr:sp macro="" textlink="">
        <xdr:nvSpPr>
          <xdr:cNvPr id="72" name="Line 1212">
            <a:extLst>
              <a:ext uri="{FF2B5EF4-FFF2-40B4-BE49-F238E27FC236}">
                <a16:creationId xmlns:a16="http://schemas.microsoft.com/office/drawing/2014/main" id="{6511A7A2-F32B-44F9-9187-23DBB8983BC4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Box 1213">
            <a:extLst>
              <a:ext uri="{FF2B5EF4-FFF2-40B4-BE49-F238E27FC236}">
                <a16:creationId xmlns:a16="http://schemas.microsoft.com/office/drawing/2014/main" id="{60540025-B1A6-4D0B-9CB9-BF28EA0FB3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33</xdr:col>
      <xdr:colOff>159544</xdr:colOff>
      <xdr:row>47</xdr:row>
      <xdr:rowOff>95250</xdr:rowOff>
    </xdr:from>
    <xdr:to>
      <xdr:col>37</xdr:col>
      <xdr:colOff>16669</xdr:colOff>
      <xdr:row>50</xdr:row>
      <xdr:rowOff>47625</xdr:rowOff>
    </xdr:to>
    <xdr:grpSp>
      <xdr:nvGrpSpPr>
        <xdr:cNvPr id="74" name="Group 1220">
          <a:extLst>
            <a:ext uri="{FF2B5EF4-FFF2-40B4-BE49-F238E27FC236}">
              <a16:creationId xmlns:a16="http://schemas.microsoft.com/office/drawing/2014/main" id="{2BBA6675-83EA-42D8-A1FA-A2A1815044D3}"/>
            </a:ext>
          </a:extLst>
        </xdr:cNvPr>
        <xdr:cNvGrpSpPr>
          <a:grpSpLocks/>
        </xdr:cNvGrpSpPr>
      </xdr:nvGrpSpPr>
      <xdr:grpSpPr bwMode="auto">
        <a:xfrm>
          <a:off x="7255669" y="7874000"/>
          <a:ext cx="746125" cy="476250"/>
          <a:chOff x="1148" y="209"/>
          <a:chExt cx="95" cy="52"/>
        </a:xfrm>
      </xdr:grpSpPr>
      <xdr:sp macro="" textlink="">
        <xdr:nvSpPr>
          <xdr:cNvPr id="75" name="Line 1221">
            <a:extLst>
              <a:ext uri="{FF2B5EF4-FFF2-40B4-BE49-F238E27FC236}">
                <a16:creationId xmlns:a16="http://schemas.microsoft.com/office/drawing/2014/main" id="{6981F2D1-F5A4-4436-AEB7-BC67AB5E0073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Text Box 1222">
            <a:extLst>
              <a:ext uri="{FF2B5EF4-FFF2-40B4-BE49-F238E27FC236}">
                <a16:creationId xmlns:a16="http://schemas.microsoft.com/office/drawing/2014/main" id="{33828A70-1B08-45FE-960B-049CA8A924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50</xdr:col>
      <xdr:colOff>195262</xdr:colOff>
      <xdr:row>49</xdr:row>
      <xdr:rowOff>47625</xdr:rowOff>
    </xdr:from>
    <xdr:to>
      <xdr:col>54</xdr:col>
      <xdr:colOff>52387</xdr:colOff>
      <xdr:row>52</xdr:row>
      <xdr:rowOff>0</xdr:rowOff>
    </xdr:to>
    <xdr:grpSp>
      <xdr:nvGrpSpPr>
        <xdr:cNvPr id="77" name="Group 1226">
          <a:extLst>
            <a:ext uri="{FF2B5EF4-FFF2-40B4-BE49-F238E27FC236}">
              <a16:creationId xmlns:a16="http://schemas.microsoft.com/office/drawing/2014/main" id="{1309B247-228F-4382-8419-2EC6CCC3B67F}"/>
            </a:ext>
          </a:extLst>
        </xdr:cNvPr>
        <xdr:cNvGrpSpPr>
          <a:grpSpLocks/>
        </xdr:cNvGrpSpPr>
      </xdr:nvGrpSpPr>
      <xdr:grpSpPr bwMode="auto">
        <a:xfrm>
          <a:off x="11069637" y="8175625"/>
          <a:ext cx="746125" cy="476250"/>
          <a:chOff x="1148" y="209"/>
          <a:chExt cx="95" cy="52"/>
        </a:xfrm>
      </xdr:grpSpPr>
      <xdr:sp macro="" textlink="">
        <xdr:nvSpPr>
          <xdr:cNvPr id="78" name="Line 1227">
            <a:extLst>
              <a:ext uri="{FF2B5EF4-FFF2-40B4-BE49-F238E27FC236}">
                <a16:creationId xmlns:a16="http://schemas.microsoft.com/office/drawing/2014/main" id="{2135BD78-B1F9-46D6-AD8E-FD9B38DECE5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Text Box 1228">
            <a:extLst>
              <a:ext uri="{FF2B5EF4-FFF2-40B4-BE49-F238E27FC236}">
                <a16:creationId xmlns:a16="http://schemas.microsoft.com/office/drawing/2014/main" id="{D693D372-C8F4-4170-8956-77CD2E08E6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34</xdr:col>
      <xdr:colOff>211931</xdr:colOff>
      <xdr:row>74</xdr:row>
      <xdr:rowOff>147637</xdr:rowOff>
    </xdr:from>
    <xdr:to>
      <xdr:col>39</xdr:col>
      <xdr:colOff>40481</xdr:colOff>
      <xdr:row>77</xdr:row>
      <xdr:rowOff>152399</xdr:rowOff>
    </xdr:to>
    <xdr:grpSp>
      <xdr:nvGrpSpPr>
        <xdr:cNvPr id="80" name="Group 1229">
          <a:extLst>
            <a:ext uri="{FF2B5EF4-FFF2-40B4-BE49-F238E27FC236}">
              <a16:creationId xmlns:a16="http://schemas.microsoft.com/office/drawing/2014/main" id="{1A48E78F-3330-4725-8B5D-A59ACC54A919}"/>
            </a:ext>
          </a:extLst>
        </xdr:cNvPr>
        <xdr:cNvGrpSpPr>
          <a:grpSpLocks/>
        </xdr:cNvGrpSpPr>
      </xdr:nvGrpSpPr>
      <xdr:grpSpPr bwMode="auto">
        <a:xfrm>
          <a:off x="7530306" y="12387262"/>
          <a:ext cx="939800" cy="528637"/>
          <a:chOff x="986" y="117"/>
          <a:chExt cx="107" cy="50"/>
        </a:xfrm>
      </xdr:grpSpPr>
      <xdr:sp macro="" textlink="">
        <xdr:nvSpPr>
          <xdr:cNvPr id="81" name="Line 1230">
            <a:extLst>
              <a:ext uri="{FF2B5EF4-FFF2-40B4-BE49-F238E27FC236}">
                <a16:creationId xmlns:a16="http://schemas.microsoft.com/office/drawing/2014/main" id="{5281492E-8E11-4378-BD0F-FD98700A7511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Text Box 1231">
            <a:extLst>
              <a:ext uri="{FF2B5EF4-FFF2-40B4-BE49-F238E27FC236}">
                <a16:creationId xmlns:a16="http://schemas.microsoft.com/office/drawing/2014/main" id="{BFC824DD-9E13-4249-B662-2D70EB6D22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38</xdr:col>
      <xdr:colOff>91237</xdr:colOff>
      <xdr:row>71</xdr:row>
      <xdr:rowOff>142876</xdr:rowOff>
    </xdr:from>
    <xdr:to>
      <xdr:col>42</xdr:col>
      <xdr:colOff>93242</xdr:colOff>
      <xdr:row>77</xdr:row>
      <xdr:rowOff>132114</xdr:rowOff>
    </xdr:to>
    <xdr:grpSp>
      <xdr:nvGrpSpPr>
        <xdr:cNvPr id="83" name="Group 1232">
          <a:extLst>
            <a:ext uri="{FF2B5EF4-FFF2-40B4-BE49-F238E27FC236}">
              <a16:creationId xmlns:a16="http://schemas.microsoft.com/office/drawing/2014/main" id="{0B7B7861-6C12-47E6-9E7F-05BAAA233D06}"/>
            </a:ext>
          </a:extLst>
        </xdr:cNvPr>
        <xdr:cNvGrpSpPr>
          <a:grpSpLocks/>
        </xdr:cNvGrpSpPr>
      </xdr:nvGrpSpPr>
      <xdr:grpSpPr bwMode="auto">
        <a:xfrm>
          <a:off x="8298612" y="11858626"/>
          <a:ext cx="891005" cy="1036988"/>
          <a:chOff x="1038" y="209"/>
          <a:chExt cx="112" cy="113"/>
        </a:xfrm>
      </xdr:grpSpPr>
      <xdr:sp macro="" textlink="">
        <xdr:nvSpPr>
          <xdr:cNvPr id="84" name="Line 1233">
            <a:extLst>
              <a:ext uri="{FF2B5EF4-FFF2-40B4-BE49-F238E27FC236}">
                <a16:creationId xmlns:a16="http://schemas.microsoft.com/office/drawing/2014/main" id="{A8722CB0-0E73-4A17-A8AD-5FF277401A6C}"/>
              </a:ext>
            </a:extLst>
          </xdr:cNvPr>
          <xdr:cNvSpPr>
            <a:spLocks noChangeShapeType="1"/>
          </xdr:cNvSpPr>
        </xdr:nvSpPr>
        <xdr:spPr bwMode="auto">
          <a:xfrm>
            <a:off x="1038" y="291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Text Box 1234">
            <a:extLst>
              <a:ext uri="{FF2B5EF4-FFF2-40B4-BE49-F238E27FC236}">
                <a16:creationId xmlns:a16="http://schemas.microsoft.com/office/drawing/2014/main" id="{DF9D6A47-F544-479B-A013-F3F151C3BC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2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53</xdr:col>
      <xdr:colOff>57150</xdr:colOff>
      <xdr:row>74</xdr:row>
      <xdr:rowOff>147638</xdr:rowOff>
    </xdr:from>
    <xdr:to>
      <xdr:col>57</xdr:col>
      <xdr:colOff>123825</xdr:colOff>
      <xdr:row>77</xdr:row>
      <xdr:rowOff>152400</xdr:rowOff>
    </xdr:to>
    <xdr:grpSp>
      <xdr:nvGrpSpPr>
        <xdr:cNvPr id="86" name="Group 1235">
          <a:extLst>
            <a:ext uri="{FF2B5EF4-FFF2-40B4-BE49-F238E27FC236}">
              <a16:creationId xmlns:a16="http://schemas.microsoft.com/office/drawing/2014/main" id="{864FB8DB-C844-4A32-88F2-0F07FC134CF5}"/>
            </a:ext>
          </a:extLst>
        </xdr:cNvPr>
        <xdr:cNvGrpSpPr>
          <a:grpSpLocks/>
        </xdr:cNvGrpSpPr>
      </xdr:nvGrpSpPr>
      <xdr:grpSpPr bwMode="auto">
        <a:xfrm>
          <a:off x="11598275" y="12387263"/>
          <a:ext cx="955675" cy="528637"/>
          <a:chOff x="986" y="117"/>
          <a:chExt cx="107" cy="50"/>
        </a:xfrm>
      </xdr:grpSpPr>
      <xdr:sp macro="" textlink="">
        <xdr:nvSpPr>
          <xdr:cNvPr id="87" name="Line 1236">
            <a:extLst>
              <a:ext uri="{FF2B5EF4-FFF2-40B4-BE49-F238E27FC236}">
                <a16:creationId xmlns:a16="http://schemas.microsoft.com/office/drawing/2014/main" id="{7C630AB0-94EF-4A23-A956-A7CF0A6F9551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Text Box 1237">
            <a:extLst>
              <a:ext uri="{FF2B5EF4-FFF2-40B4-BE49-F238E27FC236}">
                <a16:creationId xmlns:a16="http://schemas.microsoft.com/office/drawing/2014/main" id="{93B76A27-0801-4267-AD6F-0C4A96080A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132</xdr:row>
      <xdr:rowOff>28575</xdr:rowOff>
    </xdr:from>
    <xdr:to>
      <xdr:col>45</xdr:col>
      <xdr:colOff>28575</xdr:colOff>
      <xdr:row>134</xdr:row>
      <xdr:rowOff>152400</xdr:rowOff>
    </xdr:to>
    <xdr:grpSp>
      <xdr:nvGrpSpPr>
        <xdr:cNvPr id="89" name="Group 1265">
          <a:extLst>
            <a:ext uri="{FF2B5EF4-FFF2-40B4-BE49-F238E27FC236}">
              <a16:creationId xmlns:a16="http://schemas.microsoft.com/office/drawing/2014/main" id="{EEECF2BD-B177-42C3-9345-E5F2C9F93379}"/>
            </a:ext>
          </a:extLst>
        </xdr:cNvPr>
        <xdr:cNvGrpSpPr>
          <a:grpSpLocks/>
        </xdr:cNvGrpSpPr>
      </xdr:nvGrpSpPr>
      <xdr:grpSpPr bwMode="auto">
        <a:xfrm>
          <a:off x="8851900" y="21809075"/>
          <a:ext cx="939800" cy="520700"/>
          <a:chOff x="986" y="117"/>
          <a:chExt cx="107" cy="50"/>
        </a:xfrm>
      </xdr:grpSpPr>
      <xdr:sp macro="" textlink="">
        <xdr:nvSpPr>
          <xdr:cNvPr id="90" name="Line 1266">
            <a:extLst>
              <a:ext uri="{FF2B5EF4-FFF2-40B4-BE49-F238E27FC236}">
                <a16:creationId xmlns:a16="http://schemas.microsoft.com/office/drawing/2014/main" id="{CFAA1ACB-3E1A-4CB0-870E-47B413EF9A74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Text Box 1267">
            <a:extLst>
              <a:ext uri="{FF2B5EF4-FFF2-40B4-BE49-F238E27FC236}">
                <a16:creationId xmlns:a16="http://schemas.microsoft.com/office/drawing/2014/main" id="{CB9FFB90-02C0-4222-9150-CA47944418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133</xdr:row>
      <xdr:rowOff>142875</xdr:rowOff>
    </xdr:from>
    <xdr:to>
      <xdr:col>45</xdr:col>
      <xdr:colOff>171450</xdr:colOff>
      <xdr:row>136</xdr:row>
      <xdr:rowOff>95250</xdr:rowOff>
    </xdr:to>
    <xdr:grpSp>
      <xdr:nvGrpSpPr>
        <xdr:cNvPr id="92" name="Group 1268">
          <a:extLst>
            <a:ext uri="{FF2B5EF4-FFF2-40B4-BE49-F238E27FC236}">
              <a16:creationId xmlns:a16="http://schemas.microsoft.com/office/drawing/2014/main" id="{C6DF0193-7C4A-418D-B057-380CE232422F}"/>
            </a:ext>
          </a:extLst>
        </xdr:cNvPr>
        <xdr:cNvGrpSpPr>
          <a:grpSpLocks/>
        </xdr:cNvGrpSpPr>
      </xdr:nvGrpSpPr>
      <xdr:grpSpPr bwMode="auto">
        <a:xfrm>
          <a:off x="9172575" y="22145625"/>
          <a:ext cx="762000" cy="476250"/>
          <a:chOff x="1148" y="209"/>
          <a:chExt cx="95" cy="52"/>
        </a:xfrm>
      </xdr:grpSpPr>
      <xdr:sp macro="" textlink="">
        <xdr:nvSpPr>
          <xdr:cNvPr id="93" name="Line 1269">
            <a:extLst>
              <a:ext uri="{FF2B5EF4-FFF2-40B4-BE49-F238E27FC236}">
                <a16:creationId xmlns:a16="http://schemas.microsoft.com/office/drawing/2014/main" id="{4401FC09-1472-44D3-9BE3-BF1C6662B7EB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Text Box 1270">
            <a:extLst>
              <a:ext uri="{FF2B5EF4-FFF2-40B4-BE49-F238E27FC236}">
                <a16:creationId xmlns:a16="http://schemas.microsoft.com/office/drawing/2014/main" id="{034761F9-9608-467F-911C-AE241E8B40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132</xdr:row>
      <xdr:rowOff>28575</xdr:rowOff>
    </xdr:from>
    <xdr:to>
      <xdr:col>62</xdr:col>
      <xdr:colOff>28575</xdr:colOff>
      <xdr:row>134</xdr:row>
      <xdr:rowOff>152400</xdr:rowOff>
    </xdr:to>
    <xdr:grpSp>
      <xdr:nvGrpSpPr>
        <xdr:cNvPr id="95" name="Group 1271">
          <a:extLst>
            <a:ext uri="{FF2B5EF4-FFF2-40B4-BE49-F238E27FC236}">
              <a16:creationId xmlns:a16="http://schemas.microsoft.com/office/drawing/2014/main" id="{E0D377C2-FC5A-44A2-825B-5620F902BDD5}"/>
            </a:ext>
          </a:extLst>
        </xdr:cNvPr>
        <xdr:cNvGrpSpPr>
          <a:grpSpLocks/>
        </xdr:cNvGrpSpPr>
      </xdr:nvGrpSpPr>
      <xdr:grpSpPr bwMode="auto">
        <a:xfrm>
          <a:off x="12630150" y="21809075"/>
          <a:ext cx="939800" cy="520700"/>
          <a:chOff x="986" y="117"/>
          <a:chExt cx="107" cy="50"/>
        </a:xfrm>
      </xdr:grpSpPr>
      <xdr:sp macro="" textlink="">
        <xdr:nvSpPr>
          <xdr:cNvPr id="96" name="Line 1272">
            <a:extLst>
              <a:ext uri="{FF2B5EF4-FFF2-40B4-BE49-F238E27FC236}">
                <a16:creationId xmlns:a16="http://schemas.microsoft.com/office/drawing/2014/main" id="{225EBE2C-2636-4EF3-9E01-37FBD8E1C18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Text Box 1273">
            <a:extLst>
              <a:ext uri="{FF2B5EF4-FFF2-40B4-BE49-F238E27FC236}">
                <a16:creationId xmlns:a16="http://schemas.microsoft.com/office/drawing/2014/main" id="{C63E85C4-1551-48CE-B6CB-CAD77DEC15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133</xdr:row>
      <xdr:rowOff>142875</xdr:rowOff>
    </xdr:from>
    <xdr:to>
      <xdr:col>62</xdr:col>
      <xdr:colOff>171450</xdr:colOff>
      <xdr:row>136</xdr:row>
      <xdr:rowOff>95250</xdr:rowOff>
    </xdr:to>
    <xdr:grpSp>
      <xdr:nvGrpSpPr>
        <xdr:cNvPr id="98" name="Group 1274">
          <a:extLst>
            <a:ext uri="{FF2B5EF4-FFF2-40B4-BE49-F238E27FC236}">
              <a16:creationId xmlns:a16="http://schemas.microsoft.com/office/drawing/2014/main" id="{C10298FC-6737-41C1-9ABE-B4403A656F39}"/>
            </a:ext>
          </a:extLst>
        </xdr:cNvPr>
        <xdr:cNvGrpSpPr>
          <a:grpSpLocks/>
        </xdr:cNvGrpSpPr>
      </xdr:nvGrpSpPr>
      <xdr:grpSpPr bwMode="auto">
        <a:xfrm>
          <a:off x="12950825" y="22145625"/>
          <a:ext cx="762000" cy="476250"/>
          <a:chOff x="1148" y="209"/>
          <a:chExt cx="95" cy="52"/>
        </a:xfrm>
      </xdr:grpSpPr>
      <xdr:sp macro="" textlink="">
        <xdr:nvSpPr>
          <xdr:cNvPr id="99" name="Line 1275">
            <a:extLst>
              <a:ext uri="{FF2B5EF4-FFF2-40B4-BE49-F238E27FC236}">
                <a16:creationId xmlns:a16="http://schemas.microsoft.com/office/drawing/2014/main" id="{E49BD2C5-637E-40A7-B390-18BE89B76448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Text Box 1276">
            <a:extLst>
              <a:ext uri="{FF2B5EF4-FFF2-40B4-BE49-F238E27FC236}">
                <a16:creationId xmlns:a16="http://schemas.microsoft.com/office/drawing/2014/main" id="{50E6D165-2DD7-40CA-99DE-7FB7142860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150</xdr:row>
      <xdr:rowOff>28575</xdr:rowOff>
    </xdr:from>
    <xdr:to>
      <xdr:col>45</xdr:col>
      <xdr:colOff>28575</xdr:colOff>
      <xdr:row>152</xdr:row>
      <xdr:rowOff>152400</xdr:rowOff>
    </xdr:to>
    <xdr:grpSp>
      <xdr:nvGrpSpPr>
        <xdr:cNvPr id="101" name="Group 1277">
          <a:extLst>
            <a:ext uri="{FF2B5EF4-FFF2-40B4-BE49-F238E27FC236}">
              <a16:creationId xmlns:a16="http://schemas.microsoft.com/office/drawing/2014/main" id="{1DCCAF29-5DE2-4E95-954C-7DDE60F49343}"/>
            </a:ext>
          </a:extLst>
        </xdr:cNvPr>
        <xdr:cNvGrpSpPr>
          <a:grpSpLocks/>
        </xdr:cNvGrpSpPr>
      </xdr:nvGrpSpPr>
      <xdr:grpSpPr bwMode="auto">
        <a:xfrm>
          <a:off x="8851900" y="24872950"/>
          <a:ext cx="939800" cy="457200"/>
          <a:chOff x="986" y="117"/>
          <a:chExt cx="107" cy="50"/>
        </a:xfrm>
      </xdr:grpSpPr>
      <xdr:sp macro="" textlink="">
        <xdr:nvSpPr>
          <xdr:cNvPr id="102" name="Line 1278">
            <a:extLst>
              <a:ext uri="{FF2B5EF4-FFF2-40B4-BE49-F238E27FC236}">
                <a16:creationId xmlns:a16="http://schemas.microsoft.com/office/drawing/2014/main" id="{9013CBC6-E910-432F-9BEC-D905FA871FF6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Text Box 1279">
            <a:extLst>
              <a:ext uri="{FF2B5EF4-FFF2-40B4-BE49-F238E27FC236}">
                <a16:creationId xmlns:a16="http://schemas.microsoft.com/office/drawing/2014/main" id="{2C82AF8C-E7E4-4473-84AB-68D43D6DAD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151</xdr:row>
      <xdr:rowOff>142875</xdr:rowOff>
    </xdr:from>
    <xdr:to>
      <xdr:col>45</xdr:col>
      <xdr:colOff>171450</xdr:colOff>
      <xdr:row>154</xdr:row>
      <xdr:rowOff>95250</xdr:rowOff>
    </xdr:to>
    <xdr:grpSp>
      <xdr:nvGrpSpPr>
        <xdr:cNvPr id="104" name="Group 1280">
          <a:extLst>
            <a:ext uri="{FF2B5EF4-FFF2-40B4-BE49-F238E27FC236}">
              <a16:creationId xmlns:a16="http://schemas.microsoft.com/office/drawing/2014/main" id="{32EC9D27-618F-4DB4-BB70-5140BCAD29D0}"/>
            </a:ext>
          </a:extLst>
        </xdr:cNvPr>
        <xdr:cNvGrpSpPr>
          <a:grpSpLocks/>
        </xdr:cNvGrpSpPr>
      </xdr:nvGrpSpPr>
      <xdr:grpSpPr bwMode="auto">
        <a:xfrm>
          <a:off x="9172575" y="25146000"/>
          <a:ext cx="762000" cy="476250"/>
          <a:chOff x="1148" y="209"/>
          <a:chExt cx="95" cy="52"/>
        </a:xfrm>
      </xdr:grpSpPr>
      <xdr:sp macro="" textlink="">
        <xdr:nvSpPr>
          <xdr:cNvPr id="105" name="Line 1281">
            <a:extLst>
              <a:ext uri="{FF2B5EF4-FFF2-40B4-BE49-F238E27FC236}">
                <a16:creationId xmlns:a16="http://schemas.microsoft.com/office/drawing/2014/main" id="{E9234177-3226-4BC8-B73A-6E21DEECCAD9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Text Box 1282">
            <a:extLst>
              <a:ext uri="{FF2B5EF4-FFF2-40B4-BE49-F238E27FC236}">
                <a16:creationId xmlns:a16="http://schemas.microsoft.com/office/drawing/2014/main" id="{6319E757-23FB-4A3D-9E50-3579F49F60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150</xdr:row>
      <xdr:rowOff>28575</xdr:rowOff>
    </xdr:from>
    <xdr:to>
      <xdr:col>62</xdr:col>
      <xdr:colOff>28575</xdr:colOff>
      <xdr:row>152</xdr:row>
      <xdr:rowOff>152400</xdr:rowOff>
    </xdr:to>
    <xdr:grpSp>
      <xdr:nvGrpSpPr>
        <xdr:cNvPr id="107" name="Group 1283">
          <a:extLst>
            <a:ext uri="{FF2B5EF4-FFF2-40B4-BE49-F238E27FC236}">
              <a16:creationId xmlns:a16="http://schemas.microsoft.com/office/drawing/2014/main" id="{578F3D8A-A09D-4450-BB90-E802314219F6}"/>
            </a:ext>
          </a:extLst>
        </xdr:cNvPr>
        <xdr:cNvGrpSpPr>
          <a:grpSpLocks/>
        </xdr:cNvGrpSpPr>
      </xdr:nvGrpSpPr>
      <xdr:grpSpPr bwMode="auto">
        <a:xfrm>
          <a:off x="12630150" y="24872950"/>
          <a:ext cx="939800" cy="457200"/>
          <a:chOff x="986" y="117"/>
          <a:chExt cx="107" cy="50"/>
        </a:xfrm>
      </xdr:grpSpPr>
      <xdr:sp macro="" textlink="">
        <xdr:nvSpPr>
          <xdr:cNvPr id="108" name="Line 1284">
            <a:extLst>
              <a:ext uri="{FF2B5EF4-FFF2-40B4-BE49-F238E27FC236}">
                <a16:creationId xmlns:a16="http://schemas.microsoft.com/office/drawing/2014/main" id="{4EEE9FBF-C1BB-4387-96FB-134C81306DE9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Box 1285">
            <a:extLst>
              <a:ext uri="{FF2B5EF4-FFF2-40B4-BE49-F238E27FC236}">
                <a16:creationId xmlns:a16="http://schemas.microsoft.com/office/drawing/2014/main" id="{3871C42F-2214-44D7-B2A9-F2026366AE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151</xdr:row>
      <xdr:rowOff>142875</xdr:rowOff>
    </xdr:from>
    <xdr:to>
      <xdr:col>62</xdr:col>
      <xdr:colOff>171450</xdr:colOff>
      <xdr:row>154</xdr:row>
      <xdr:rowOff>95250</xdr:rowOff>
    </xdr:to>
    <xdr:grpSp>
      <xdr:nvGrpSpPr>
        <xdr:cNvPr id="110" name="Group 1286">
          <a:extLst>
            <a:ext uri="{FF2B5EF4-FFF2-40B4-BE49-F238E27FC236}">
              <a16:creationId xmlns:a16="http://schemas.microsoft.com/office/drawing/2014/main" id="{53A055C3-9084-4667-978C-1AD492B4A0A0}"/>
            </a:ext>
          </a:extLst>
        </xdr:cNvPr>
        <xdr:cNvGrpSpPr>
          <a:grpSpLocks/>
        </xdr:cNvGrpSpPr>
      </xdr:nvGrpSpPr>
      <xdr:grpSpPr bwMode="auto">
        <a:xfrm>
          <a:off x="12950825" y="25146000"/>
          <a:ext cx="762000" cy="476250"/>
          <a:chOff x="1148" y="209"/>
          <a:chExt cx="95" cy="52"/>
        </a:xfrm>
      </xdr:grpSpPr>
      <xdr:sp macro="" textlink="">
        <xdr:nvSpPr>
          <xdr:cNvPr id="111" name="Line 1287">
            <a:extLst>
              <a:ext uri="{FF2B5EF4-FFF2-40B4-BE49-F238E27FC236}">
                <a16:creationId xmlns:a16="http://schemas.microsoft.com/office/drawing/2014/main" id="{BEFB2466-D9C6-41CE-B9A9-BD81E9817B17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ext Box 1288">
            <a:extLst>
              <a:ext uri="{FF2B5EF4-FFF2-40B4-BE49-F238E27FC236}">
                <a16:creationId xmlns:a16="http://schemas.microsoft.com/office/drawing/2014/main" id="{5697B050-AF8D-44A5-91A0-43DFF2CB40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168</xdr:row>
      <xdr:rowOff>28575</xdr:rowOff>
    </xdr:from>
    <xdr:to>
      <xdr:col>45</xdr:col>
      <xdr:colOff>28575</xdr:colOff>
      <xdr:row>170</xdr:row>
      <xdr:rowOff>152400</xdr:rowOff>
    </xdr:to>
    <xdr:grpSp>
      <xdr:nvGrpSpPr>
        <xdr:cNvPr id="113" name="Group 1289">
          <a:extLst>
            <a:ext uri="{FF2B5EF4-FFF2-40B4-BE49-F238E27FC236}">
              <a16:creationId xmlns:a16="http://schemas.microsoft.com/office/drawing/2014/main" id="{074CF1FC-F5E6-42A4-B53E-CAC554B65D99}"/>
            </a:ext>
          </a:extLst>
        </xdr:cNvPr>
        <xdr:cNvGrpSpPr>
          <a:grpSpLocks/>
        </xdr:cNvGrpSpPr>
      </xdr:nvGrpSpPr>
      <xdr:grpSpPr bwMode="auto">
        <a:xfrm>
          <a:off x="8851900" y="27873325"/>
          <a:ext cx="939800" cy="457200"/>
          <a:chOff x="986" y="117"/>
          <a:chExt cx="107" cy="50"/>
        </a:xfrm>
      </xdr:grpSpPr>
      <xdr:sp macro="" textlink="">
        <xdr:nvSpPr>
          <xdr:cNvPr id="114" name="Line 1290">
            <a:extLst>
              <a:ext uri="{FF2B5EF4-FFF2-40B4-BE49-F238E27FC236}">
                <a16:creationId xmlns:a16="http://schemas.microsoft.com/office/drawing/2014/main" id="{AD60FB5D-720F-4FC2-BC5A-86407C43B0CF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Text Box 1291">
            <a:extLst>
              <a:ext uri="{FF2B5EF4-FFF2-40B4-BE49-F238E27FC236}">
                <a16:creationId xmlns:a16="http://schemas.microsoft.com/office/drawing/2014/main" id="{F2274134-105F-48AD-9A3B-B323266E1D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169</xdr:row>
      <xdr:rowOff>142875</xdr:rowOff>
    </xdr:from>
    <xdr:to>
      <xdr:col>45</xdr:col>
      <xdr:colOff>171450</xdr:colOff>
      <xdr:row>172</xdr:row>
      <xdr:rowOff>95250</xdr:rowOff>
    </xdr:to>
    <xdr:grpSp>
      <xdr:nvGrpSpPr>
        <xdr:cNvPr id="116" name="Group 1292">
          <a:extLst>
            <a:ext uri="{FF2B5EF4-FFF2-40B4-BE49-F238E27FC236}">
              <a16:creationId xmlns:a16="http://schemas.microsoft.com/office/drawing/2014/main" id="{E01BA28E-813B-4951-AFBF-8D28EAF433BB}"/>
            </a:ext>
          </a:extLst>
        </xdr:cNvPr>
        <xdr:cNvGrpSpPr>
          <a:grpSpLocks/>
        </xdr:cNvGrpSpPr>
      </xdr:nvGrpSpPr>
      <xdr:grpSpPr bwMode="auto">
        <a:xfrm>
          <a:off x="9172575" y="28146375"/>
          <a:ext cx="762000" cy="476250"/>
          <a:chOff x="1148" y="209"/>
          <a:chExt cx="95" cy="52"/>
        </a:xfrm>
      </xdr:grpSpPr>
      <xdr:sp macro="" textlink="">
        <xdr:nvSpPr>
          <xdr:cNvPr id="117" name="Line 1293">
            <a:extLst>
              <a:ext uri="{FF2B5EF4-FFF2-40B4-BE49-F238E27FC236}">
                <a16:creationId xmlns:a16="http://schemas.microsoft.com/office/drawing/2014/main" id="{D987185E-3F63-45D3-B393-2E2C9D7F62B2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Text Box 1294">
            <a:extLst>
              <a:ext uri="{FF2B5EF4-FFF2-40B4-BE49-F238E27FC236}">
                <a16:creationId xmlns:a16="http://schemas.microsoft.com/office/drawing/2014/main" id="{FE7586CE-2DD9-4595-A70D-F6EFFFCF990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168</xdr:row>
      <xdr:rowOff>28575</xdr:rowOff>
    </xdr:from>
    <xdr:to>
      <xdr:col>62</xdr:col>
      <xdr:colOff>28575</xdr:colOff>
      <xdr:row>170</xdr:row>
      <xdr:rowOff>152400</xdr:rowOff>
    </xdr:to>
    <xdr:grpSp>
      <xdr:nvGrpSpPr>
        <xdr:cNvPr id="119" name="Group 1295">
          <a:extLst>
            <a:ext uri="{FF2B5EF4-FFF2-40B4-BE49-F238E27FC236}">
              <a16:creationId xmlns:a16="http://schemas.microsoft.com/office/drawing/2014/main" id="{4CB868F9-08E0-4ECF-844F-1FB2EC9E344B}"/>
            </a:ext>
          </a:extLst>
        </xdr:cNvPr>
        <xdr:cNvGrpSpPr>
          <a:grpSpLocks/>
        </xdr:cNvGrpSpPr>
      </xdr:nvGrpSpPr>
      <xdr:grpSpPr bwMode="auto">
        <a:xfrm>
          <a:off x="12630150" y="27873325"/>
          <a:ext cx="939800" cy="457200"/>
          <a:chOff x="986" y="117"/>
          <a:chExt cx="107" cy="50"/>
        </a:xfrm>
      </xdr:grpSpPr>
      <xdr:sp macro="" textlink="">
        <xdr:nvSpPr>
          <xdr:cNvPr id="120" name="Line 1296">
            <a:extLst>
              <a:ext uri="{FF2B5EF4-FFF2-40B4-BE49-F238E27FC236}">
                <a16:creationId xmlns:a16="http://schemas.microsoft.com/office/drawing/2014/main" id="{B11AF233-7C74-4ED4-BF68-17CFF39F3449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Text Box 1297">
            <a:extLst>
              <a:ext uri="{FF2B5EF4-FFF2-40B4-BE49-F238E27FC236}">
                <a16:creationId xmlns:a16="http://schemas.microsoft.com/office/drawing/2014/main" id="{639925F0-CBB4-494A-BA60-DD81CDCB43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169</xdr:row>
      <xdr:rowOff>142875</xdr:rowOff>
    </xdr:from>
    <xdr:to>
      <xdr:col>62</xdr:col>
      <xdr:colOff>171450</xdr:colOff>
      <xdr:row>172</xdr:row>
      <xdr:rowOff>95250</xdr:rowOff>
    </xdr:to>
    <xdr:grpSp>
      <xdr:nvGrpSpPr>
        <xdr:cNvPr id="122" name="Group 1298">
          <a:extLst>
            <a:ext uri="{FF2B5EF4-FFF2-40B4-BE49-F238E27FC236}">
              <a16:creationId xmlns:a16="http://schemas.microsoft.com/office/drawing/2014/main" id="{89ED9D65-7F24-490A-884C-B46C16258F0F}"/>
            </a:ext>
          </a:extLst>
        </xdr:cNvPr>
        <xdr:cNvGrpSpPr>
          <a:grpSpLocks/>
        </xdr:cNvGrpSpPr>
      </xdr:nvGrpSpPr>
      <xdr:grpSpPr bwMode="auto">
        <a:xfrm>
          <a:off x="12950825" y="28146375"/>
          <a:ext cx="762000" cy="476250"/>
          <a:chOff x="1148" y="209"/>
          <a:chExt cx="95" cy="52"/>
        </a:xfrm>
      </xdr:grpSpPr>
      <xdr:sp macro="" textlink="">
        <xdr:nvSpPr>
          <xdr:cNvPr id="123" name="Line 1299">
            <a:extLst>
              <a:ext uri="{FF2B5EF4-FFF2-40B4-BE49-F238E27FC236}">
                <a16:creationId xmlns:a16="http://schemas.microsoft.com/office/drawing/2014/main" id="{4087CD58-DAAF-4ECD-8034-80F0E3BEEE7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Text Box 1300">
            <a:extLst>
              <a:ext uri="{FF2B5EF4-FFF2-40B4-BE49-F238E27FC236}">
                <a16:creationId xmlns:a16="http://schemas.microsoft.com/office/drawing/2014/main" id="{BDBCA7C0-9926-491B-BC68-CDC0BDDC55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194</xdr:row>
      <xdr:rowOff>28575</xdr:rowOff>
    </xdr:from>
    <xdr:to>
      <xdr:col>45</xdr:col>
      <xdr:colOff>28575</xdr:colOff>
      <xdr:row>196</xdr:row>
      <xdr:rowOff>152400</xdr:rowOff>
    </xdr:to>
    <xdr:grpSp>
      <xdr:nvGrpSpPr>
        <xdr:cNvPr id="125" name="Group 1301">
          <a:extLst>
            <a:ext uri="{FF2B5EF4-FFF2-40B4-BE49-F238E27FC236}">
              <a16:creationId xmlns:a16="http://schemas.microsoft.com/office/drawing/2014/main" id="{D0BBFDC1-1440-4BD6-8948-5D2BD6870F5A}"/>
            </a:ext>
          </a:extLst>
        </xdr:cNvPr>
        <xdr:cNvGrpSpPr>
          <a:grpSpLocks/>
        </xdr:cNvGrpSpPr>
      </xdr:nvGrpSpPr>
      <xdr:grpSpPr bwMode="auto">
        <a:xfrm>
          <a:off x="8851900" y="32096075"/>
          <a:ext cx="939800" cy="520700"/>
          <a:chOff x="986" y="117"/>
          <a:chExt cx="107" cy="50"/>
        </a:xfrm>
      </xdr:grpSpPr>
      <xdr:sp macro="" textlink="">
        <xdr:nvSpPr>
          <xdr:cNvPr id="126" name="Line 1302">
            <a:extLst>
              <a:ext uri="{FF2B5EF4-FFF2-40B4-BE49-F238E27FC236}">
                <a16:creationId xmlns:a16="http://schemas.microsoft.com/office/drawing/2014/main" id="{6E18A92F-AE0C-4E41-A9A2-3C1FDB39C51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Text Box 1303">
            <a:extLst>
              <a:ext uri="{FF2B5EF4-FFF2-40B4-BE49-F238E27FC236}">
                <a16:creationId xmlns:a16="http://schemas.microsoft.com/office/drawing/2014/main" id="{11B082FE-0C7A-411F-AAF2-99D492C169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195</xdr:row>
      <xdr:rowOff>142875</xdr:rowOff>
    </xdr:from>
    <xdr:to>
      <xdr:col>45</xdr:col>
      <xdr:colOff>171450</xdr:colOff>
      <xdr:row>198</xdr:row>
      <xdr:rowOff>95250</xdr:rowOff>
    </xdr:to>
    <xdr:grpSp>
      <xdr:nvGrpSpPr>
        <xdr:cNvPr id="128" name="Group 1304">
          <a:extLst>
            <a:ext uri="{FF2B5EF4-FFF2-40B4-BE49-F238E27FC236}">
              <a16:creationId xmlns:a16="http://schemas.microsoft.com/office/drawing/2014/main" id="{6F375681-9268-4DCC-933F-1B3E2B5ACDE5}"/>
            </a:ext>
          </a:extLst>
        </xdr:cNvPr>
        <xdr:cNvGrpSpPr>
          <a:grpSpLocks/>
        </xdr:cNvGrpSpPr>
      </xdr:nvGrpSpPr>
      <xdr:grpSpPr bwMode="auto">
        <a:xfrm>
          <a:off x="9172575" y="32432625"/>
          <a:ext cx="762000" cy="476250"/>
          <a:chOff x="1148" y="209"/>
          <a:chExt cx="95" cy="52"/>
        </a:xfrm>
      </xdr:grpSpPr>
      <xdr:sp macro="" textlink="">
        <xdr:nvSpPr>
          <xdr:cNvPr id="129" name="Line 1305">
            <a:extLst>
              <a:ext uri="{FF2B5EF4-FFF2-40B4-BE49-F238E27FC236}">
                <a16:creationId xmlns:a16="http://schemas.microsoft.com/office/drawing/2014/main" id="{1B09EEF3-C974-4A44-843A-57D44D881963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Text Box 1306">
            <a:extLst>
              <a:ext uri="{FF2B5EF4-FFF2-40B4-BE49-F238E27FC236}">
                <a16:creationId xmlns:a16="http://schemas.microsoft.com/office/drawing/2014/main" id="{81BE380C-E24D-4316-A9B0-5689CA0DF0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194</xdr:row>
      <xdr:rowOff>28575</xdr:rowOff>
    </xdr:from>
    <xdr:to>
      <xdr:col>62</xdr:col>
      <xdr:colOff>28575</xdr:colOff>
      <xdr:row>196</xdr:row>
      <xdr:rowOff>152400</xdr:rowOff>
    </xdr:to>
    <xdr:grpSp>
      <xdr:nvGrpSpPr>
        <xdr:cNvPr id="131" name="Group 1307">
          <a:extLst>
            <a:ext uri="{FF2B5EF4-FFF2-40B4-BE49-F238E27FC236}">
              <a16:creationId xmlns:a16="http://schemas.microsoft.com/office/drawing/2014/main" id="{8FB06309-9F67-4C23-A4E0-B3DC656D0B69}"/>
            </a:ext>
          </a:extLst>
        </xdr:cNvPr>
        <xdr:cNvGrpSpPr>
          <a:grpSpLocks/>
        </xdr:cNvGrpSpPr>
      </xdr:nvGrpSpPr>
      <xdr:grpSpPr bwMode="auto">
        <a:xfrm>
          <a:off x="12630150" y="32096075"/>
          <a:ext cx="939800" cy="520700"/>
          <a:chOff x="986" y="117"/>
          <a:chExt cx="107" cy="50"/>
        </a:xfrm>
      </xdr:grpSpPr>
      <xdr:sp macro="" textlink="">
        <xdr:nvSpPr>
          <xdr:cNvPr id="132" name="Line 1308">
            <a:extLst>
              <a:ext uri="{FF2B5EF4-FFF2-40B4-BE49-F238E27FC236}">
                <a16:creationId xmlns:a16="http://schemas.microsoft.com/office/drawing/2014/main" id="{58AC0115-2DD1-4B25-942C-CC2F582FA3DC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Text Box 1309">
            <a:extLst>
              <a:ext uri="{FF2B5EF4-FFF2-40B4-BE49-F238E27FC236}">
                <a16:creationId xmlns:a16="http://schemas.microsoft.com/office/drawing/2014/main" id="{2ED19243-B96C-4FB8-8352-AB7183C06F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195</xdr:row>
      <xdr:rowOff>142875</xdr:rowOff>
    </xdr:from>
    <xdr:to>
      <xdr:col>62</xdr:col>
      <xdr:colOff>171450</xdr:colOff>
      <xdr:row>198</xdr:row>
      <xdr:rowOff>95250</xdr:rowOff>
    </xdr:to>
    <xdr:grpSp>
      <xdr:nvGrpSpPr>
        <xdr:cNvPr id="134" name="Group 1310">
          <a:extLst>
            <a:ext uri="{FF2B5EF4-FFF2-40B4-BE49-F238E27FC236}">
              <a16:creationId xmlns:a16="http://schemas.microsoft.com/office/drawing/2014/main" id="{451E8E59-C6EB-468A-8B8B-D4D258FF0186}"/>
            </a:ext>
          </a:extLst>
        </xdr:cNvPr>
        <xdr:cNvGrpSpPr>
          <a:grpSpLocks/>
        </xdr:cNvGrpSpPr>
      </xdr:nvGrpSpPr>
      <xdr:grpSpPr bwMode="auto">
        <a:xfrm>
          <a:off x="12950825" y="32432625"/>
          <a:ext cx="762000" cy="476250"/>
          <a:chOff x="1148" y="209"/>
          <a:chExt cx="95" cy="52"/>
        </a:xfrm>
      </xdr:grpSpPr>
      <xdr:sp macro="" textlink="">
        <xdr:nvSpPr>
          <xdr:cNvPr id="135" name="Line 1311">
            <a:extLst>
              <a:ext uri="{FF2B5EF4-FFF2-40B4-BE49-F238E27FC236}">
                <a16:creationId xmlns:a16="http://schemas.microsoft.com/office/drawing/2014/main" id="{12B8A5C4-8FB3-46D4-BF5C-9925498CFB5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Text Box 1312">
            <a:extLst>
              <a:ext uri="{FF2B5EF4-FFF2-40B4-BE49-F238E27FC236}">
                <a16:creationId xmlns:a16="http://schemas.microsoft.com/office/drawing/2014/main" id="{DE279356-2582-4AE2-B34B-33EA0EB213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212</xdr:row>
      <xdr:rowOff>28575</xdr:rowOff>
    </xdr:from>
    <xdr:to>
      <xdr:col>45</xdr:col>
      <xdr:colOff>28575</xdr:colOff>
      <xdr:row>214</xdr:row>
      <xdr:rowOff>152400</xdr:rowOff>
    </xdr:to>
    <xdr:grpSp>
      <xdr:nvGrpSpPr>
        <xdr:cNvPr id="137" name="Group 1313">
          <a:extLst>
            <a:ext uri="{FF2B5EF4-FFF2-40B4-BE49-F238E27FC236}">
              <a16:creationId xmlns:a16="http://schemas.microsoft.com/office/drawing/2014/main" id="{634C14C6-FFF0-4515-BA17-1E05D0244C44}"/>
            </a:ext>
          </a:extLst>
        </xdr:cNvPr>
        <xdr:cNvGrpSpPr>
          <a:grpSpLocks/>
        </xdr:cNvGrpSpPr>
      </xdr:nvGrpSpPr>
      <xdr:grpSpPr bwMode="auto">
        <a:xfrm>
          <a:off x="8851900" y="35159950"/>
          <a:ext cx="939800" cy="457200"/>
          <a:chOff x="986" y="117"/>
          <a:chExt cx="107" cy="50"/>
        </a:xfrm>
      </xdr:grpSpPr>
      <xdr:sp macro="" textlink="">
        <xdr:nvSpPr>
          <xdr:cNvPr id="138" name="Line 1314">
            <a:extLst>
              <a:ext uri="{FF2B5EF4-FFF2-40B4-BE49-F238E27FC236}">
                <a16:creationId xmlns:a16="http://schemas.microsoft.com/office/drawing/2014/main" id="{67F50A5D-4E4E-41F9-881A-6608A482B1E3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Text Box 1315">
            <a:extLst>
              <a:ext uri="{FF2B5EF4-FFF2-40B4-BE49-F238E27FC236}">
                <a16:creationId xmlns:a16="http://schemas.microsoft.com/office/drawing/2014/main" id="{6F370240-8789-4B44-B564-B001CB7E4E3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213</xdr:row>
      <xdr:rowOff>142875</xdr:rowOff>
    </xdr:from>
    <xdr:to>
      <xdr:col>45</xdr:col>
      <xdr:colOff>171450</xdr:colOff>
      <xdr:row>216</xdr:row>
      <xdr:rowOff>95250</xdr:rowOff>
    </xdr:to>
    <xdr:grpSp>
      <xdr:nvGrpSpPr>
        <xdr:cNvPr id="140" name="Group 1316">
          <a:extLst>
            <a:ext uri="{FF2B5EF4-FFF2-40B4-BE49-F238E27FC236}">
              <a16:creationId xmlns:a16="http://schemas.microsoft.com/office/drawing/2014/main" id="{9ADF6314-35E0-4267-9EA4-43514760A28D}"/>
            </a:ext>
          </a:extLst>
        </xdr:cNvPr>
        <xdr:cNvGrpSpPr>
          <a:grpSpLocks/>
        </xdr:cNvGrpSpPr>
      </xdr:nvGrpSpPr>
      <xdr:grpSpPr bwMode="auto">
        <a:xfrm>
          <a:off x="9172575" y="35433000"/>
          <a:ext cx="762000" cy="476250"/>
          <a:chOff x="1148" y="209"/>
          <a:chExt cx="95" cy="52"/>
        </a:xfrm>
      </xdr:grpSpPr>
      <xdr:sp macro="" textlink="">
        <xdr:nvSpPr>
          <xdr:cNvPr id="141" name="Line 1317">
            <a:extLst>
              <a:ext uri="{FF2B5EF4-FFF2-40B4-BE49-F238E27FC236}">
                <a16:creationId xmlns:a16="http://schemas.microsoft.com/office/drawing/2014/main" id="{6CAC218A-123E-4632-8496-EFE6F0F6C56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Text Box 1318">
            <a:extLst>
              <a:ext uri="{FF2B5EF4-FFF2-40B4-BE49-F238E27FC236}">
                <a16:creationId xmlns:a16="http://schemas.microsoft.com/office/drawing/2014/main" id="{B0D71D46-8B13-46FF-AC34-1E85F1BAAE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212</xdr:row>
      <xdr:rowOff>28575</xdr:rowOff>
    </xdr:from>
    <xdr:to>
      <xdr:col>62</xdr:col>
      <xdr:colOff>28575</xdr:colOff>
      <xdr:row>214</xdr:row>
      <xdr:rowOff>152400</xdr:rowOff>
    </xdr:to>
    <xdr:grpSp>
      <xdr:nvGrpSpPr>
        <xdr:cNvPr id="143" name="Group 1319">
          <a:extLst>
            <a:ext uri="{FF2B5EF4-FFF2-40B4-BE49-F238E27FC236}">
              <a16:creationId xmlns:a16="http://schemas.microsoft.com/office/drawing/2014/main" id="{D96355F6-55B4-48CE-A4D4-6A20948B69D2}"/>
            </a:ext>
          </a:extLst>
        </xdr:cNvPr>
        <xdr:cNvGrpSpPr>
          <a:grpSpLocks/>
        </xdr:cNvGrpSpPr>
      </xdr:nvGrpSpPr>
      <xdr:grpSpPr bwMode="auto">
        <a:xfrm>
          <a:off x="12630150" y="35159950"/>
          <a:ext cx="939800" cy="457200"/>
          <a:chOff x="986" y="117"/>
          <a:chExt cx="107" cy="50"/>
        </a:xfrm>
      </xdr:grpSpPr>
      <xdr:sp macro="" textlink="">
        <xdr:nvSpPr>
          <xdr:cNvPr id="144" name="Line 1320">
            <a:extLst>
              <a:ext uri="{FF2B5EF4-FFF2-40B4-BE49-F238E27FC236}">
                <a16:creationId xmlns:a16="http://schemas.microsoft.com/office/drawing/2014/main" id="{C39E5E6C-733F-43B0-B295-7D2580734414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Text Box 1321">
            <a:extLst>
              <a:ext uri="{FF2B5EF4-FFF2-40B4-BE49-F238E27FC236}">
                <a16:creationId xmlns:a16="http://schemas.microsoft.com/office/drawing/2014/main" id="{C6C31C75-B8EE-450C-8192-FB80FD1CD4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213</xdr:row>
      <xdr:rowOff>142875</xdr:rowOff>
    </xdr:from>
    <xdr:to>
      <xdr:col>62</xdr:col>
      <xdr:colOff>171450</xdr:colOff>
      <xdr:row>216</xdr:row>
      <xdr:rowOff>95250</xdr:rowOff>
    </xdr:to>
    <xdr:grpSp>
      <xdr:nvGrpSpPr>
        <xdr:cNvPr id="146" name="Group 1322">
          <a:extLst>
            <a:ext uri="{FF2B5EF4-FFF2-40B4-BE49-F238E27FC236}">
              <a16:creationId xmlns:a16="http://schemas.microsoft.com/office/drawing/2014/main" id="{3D9CDC87-1FA1-4B98-AD60-859C134484C9}"/>
            </a:ext>
          </a:extLst>
        </xdr:cNvPr>
        <xdr:cNvGrpSpPr>
          <a:grpSpLocks/>
        </xdr:cNvGrpSpPr>
      </xdr:nvGrpSpPr>
      <xdr:grpSpPr bwMode="auto">
        <a:xfrm>
          <a:off x="12950825" y="35433000"/>
          <a:ext cx="762000" cy="476250"/>
          <a:chOff x="1148" y="209"/>
          <a:chExt cx="95" cy="52"/>
        </a:xfrm>
      </xdr:grpSpPr>
      <xdr:sp macro="" textlink="">
        <xdr:nvSpPr>
          <xdr:cNvPr id="147" name="Line 1323">
            <a:extLst>
              <a:ext uri="{FF2B5EF4-FFF2-40B4-BE49-F238E27FC236}">
                <a16:creationId xmlns:a16="http://schemas.microsoft.com/office/drawing/2014/main" id="{5B4BB910-D5BF-471F-AB3F-143419A1E65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Text Box 1324">
            <a:extLst>
              <a:ext uri="{FF2B5EF4-FFF2-40B4-BE49-F238E27FC236}">
                <a16:creationId xmlns:a16="http://schemas.microsoft.com/office/drawing/2014/main" id="{8162986F-410F-4CBE-9425-62DE1CA2C4F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230</xdr:row>
      <xdr:rowOff>28575</xdr:rowOff>
    </xdr:from>
    <xdr:to>
      <xdr:col>45</xdr:col>
      <xdr:colOff>28575</xdr:colOff>
      <xdr:row>232</xdr:row>
      <xdr:rowOff>152400</xdr:rowOff>
    </xdr:to>
    <xdr:grpSp>
      <xdr:nvGrpSpPr>
        <xdr:cNvPr id="149" name="Group 1325">
          <a:extLst>
            <a:ext uri="{FF2B5EF4-FFF2-40B4-BE49-F238E27FC236}">
              <a16:creationId xmlns:a16="http://schemas.microsoft.com/office/drawing/2014/main" id="{572CBF04-AB11-4BD0-BE3E-143175724560}"/>
            </a:ext>
          </a:extLst>
        </xdr:cNvPr>
        <xdr:cNvGrpSpPr>
          <a:grpSpLocks/>
        </xdr:cNvGrpSpPr>
      </xdr:nvGrpSpPr>
      <xdr:grpSpPr bwMode="auto">
        <a:xfrm>
          <a:off x="8851900" y="38160325"/>
          <a:ext cx="939800" cy="457200"/>
          <a:chOff x="986" y="117"/>
          <a:chExt cx="107" cy="50"/>
        </a:xfrm>
      </xdr:grpSpPr>
      <xdr:sp macro="" textlink="">
        <xdr:nvSpPr>
          <xdr:cNvPr id="150" name="Line 1326">
            <a:extLst>
              <a:ext uri="{FF2B5EF4-FFF2-40B4-BE49-F238E27FC236}">
                <a16:creationId xmlns:a16="http://schemas.microsoft.com/office/drawing/2014/main" id="{80FAE1BF-FE46-431B-9D96-958E7E548315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Text Box 1327">
            <a:extLst>
              <a:ext uri="{FF2B5EF4-FFF2-40B4-BE49-F238E27FC236}">
                <a16:creationId xmlns:a16="http://schemas.microsoft.com/office/drawing/2014/main" id="{A4DF6E29-8A94-418B-8C9E-3F7EB89CED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231</xdr:row>
      <xdr:rowOff>142875</xdr:rowOff>
    </xdr:from>
    <xdr:to>
      <xdr:col>45</xdr:col>
      <xdr:colOff>171450</xdr:colOff>
      <xdr:row>234</xdr:row>
      <xdr:rowOff>95250</xdr:rowOff>
    </xdr:to>
    <xdr:grpSp>
      <xdr:nvGrpSpPr>
        <xdr:cNvPr id="152" name="Group 1328">
          <a:extLst>
            <a:ext uri="{FF2B5EF4-FFF2-40B4-BE49-F238E27FC236}">
              <a16:creationId xmlns:a16="http://schemas.microsoft.com/office/drawing/2014/main" id="{DB041244-D851-4264-9334-E640170C37C8}"/>
            </a:ext>
          </a:extLst>
        </xdr:cNvPr>
        <xdr:cNvGrpSpPr>
          <a:grpSpLocks/>
        </xdr:cNvGrpSpPr>
      </xdr:nvGrpSpPr>
      <xdr:grpSpPr bwMode="auto">
        <a:xfrm>
          <a:off x="9172575" y="38433375"/>
          <a:ext cx="762000" cy="476250"/>
          <a:chOff x="1148" y="209"/>
          <a:chExt cx="95" cy="52"/>
        </a:xfrm>
      </xdr:grpSpPr>
      <xdr:sp macro="" textlink="">
        <xdr:nvSpPr>
          <xdr:cNvPr id="153" name="Line 1329">
            <a:extLst>
              <a:ext uri="{FF2B5EF4-FFF2-40B4-BE49-F238E27FC236}">
                <a16:creationId xmlns:a16="http://schemas.microsoft.com/office/drawing/2014/main" id="{734DB75C-4ABB-48F5-90DF-AA24A7796556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" name="Text Box 1330">
            <a:extLst>
              <a:ext uri="{FF2B5EF4-FFF2-40B4-BE49-F238E27FC236}">
                <a16:creationId xmlns:a16="http://schemas.microsoft.com/office/drawing/2014/main" id="{18F7C6E4-15FD-4CC5-83AD-CBDB6680D9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230</xdr:row>
      <xdr:rowOff>28575</xdr:rowOff>
    </xdr:from>
    <xdr:to>
      <xdr:col>62</xdr:col>
      <xdr:colOff>28575</xdr:colOff>
      <xdr:row>232</xdr:row>
      <xdr:rowOff>152400</xdr:rowOff>
    </xdr:to>
    <xdr:grpSp>
      <xdr:nvGrpSpPr>
        <xdr:cNvPr id="155" name="Group 1331">
          <a:extLst>
            <a:ext uri="{FF2B5EF4-FFF2-40B4-BE49-F238E27FC236}">
              <a16:creationId xmlns:a16="http://schemas.microsoft.com/office/drawing/2014/main" id="{065A60D4-0B52-4FAF-90E6-A22BE026C6BC}"/>
            </a:ext>
          </a:extLst>
        </xdr:cNvPr>
        <xdr:cNvGrpSpPr>
          <a:grpSpLocks/>
        </xdr:cNvGrpSpPr>
      </xdr:nvGrpSpPr>
      <xdr:grpSpPr bwMode="auto">
        <a:xfrm>
          <a:off x="12630150" y="38160325"/>
          <a:ext cx="939800" cy="457200"/>
          <a:chOff x="986" y="117"/>
          <a:chExt cx="107" cy="50"/>
        </a:xfrm>
      </xdr:grpSpPr>
      <xdr:sp macro="" textlink="">
        <xdr:nvSpPr>
          <xdr:cNvPr id="156" name="Line 1332">
            <a:extLst>
              <a:ext uri="{FF2B5EF4-FFF2-40B4-BE49-F238E27FC236}">
                <a16:creationId xmlns:a16="http://schemas.microsoft.com/office/drawing/2014/main" id="{F9AC935D-ABC8-46EB-979A-E24E9077D4A2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Text Box 1333">
            <a:extLst>
              <a:ext uri="{FF2B5EF4-FFF2-40B4-BE49-F238E27FC236}">
                <a16:creationId xmlns:a16="http://schemas.microsoft.com/office/drawing/2014/main" id="{51232BCB-BC30-4113-A3B0-C9FCAC698FF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231</xdr:row>
      <xdr:rowOff>142875</xdr:rowOff>
    </xdr:from>
    <xdr:to>
      <xdr:col>62</xdr:col>
      <xdr:colOff>171450</xdr:colOff>
      <xdr:row>234</xdr:row>
      <xdr:rowOff>95250</xdr:rowOff>
    </xdr:to>
    <xdr:grpSp>
      <xdr:nvGrpSpPr>
        <xdr:cNvPr id="158" name="Group 1334">
          <a:extLst>
            <a:ext uri="{FF2B5EF4-FFF2-40B4-BE49-F238E27FC236}">
              <a16:creationId xmlns:a16="http://schemas.microsoft.com/office/drawing/2014/main" id="{331D7E42-F186-46C4-9766-9F4607699E9B}"/>
            </a:ext>
          </a:extLst>
        </xdr:cNvPr>
        <xdr:cNvGrpSpPr>
          <a:grpSpLocks/>
        </xdr:cNvGrpSpPr>
      </xdr:nvGrpSpPr>
      <xdr:grpSpPr bwMode="auto">
        <a:xfrm>
          <a:off x="12950825" y="38433375"/>
          <a:ext cx="762000" cy="476250"/>
          <a:chOff x="1148" y="209"/>
          <a:chExt cx="95" cy="52"/>
        </a:xfrm>
      </xdr:grpSpPr>
      <xdr:sp macro="" textlink="">
        <xdr:nvSpPr>
          <xdr:cNvPr id="159" name="Line 1335">
            <a:extLst>
              <a:ext uri="{FF2B5EF4-FFF2-40B4-BE49-F238E27FC236}">
                <a16:creationId xmlns:a16="http://schemas.microsoft.com/office/drawing/2014/main" id="{8592B94E-99CB-4BC6-9A99-53554F2E046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336">
            <a:extLst>
              <a:ext uri="{FF2B5EF4-FFF2-40B4-BE49-F238E27FC236}">
                <a16:creationId xmlns:a16="http://schemas.microsoft.com/office/drawing/2014/main" id="{806A1FDD-3AFC-4D7F-92CE-E64DF2F43D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256</xdr:row>
      <xdr:rowOff>28575</xdr:rowOff>
    </xdr:from>
    <xdr:to>
      <xdr:col>45</xdr:col>
      <xdr:colOff>28575</xdr:colOff>
      <xdr:row>258</xdr:row>
      <xdr:rowOff>152400</xdr:rowOff>
    </xdr:to>
    <xdr:grpSp>
      <xdr:nvGrpSpPr>
        <xdr:cNvPr id="161" name="Group 1337">
          <a:extLst>
            <a:ext uri="{FF2B5EF4-FFF2-40B4-BE49-F238E27FC236}">
              <a16:creationId xmlns:a16="http://schemas.microsoft.com/office/drawing/2014/main" id="{3F8DEB21-D2A4-4135-B41B-233A8A3AB011}"/>
            </a:ext>
          </a:extLst>
        </xdr:cNvPr>
        <xdr:cNvGrpSpPr>
          <a:grpSpLocks/>
        </xdr:cNvGrpSpPr>
      </xdr:nvGrpSpPr>
      <xdr:grpSpPr bwMode="auto">
        <a:xfrm>
          <a:off x="8851900" y="42383075"/>
          <a:ext cx="939800" cy="520700"/>
          <a:chOff x="986" y="117"/>
          <a:chExt cx="107" cy="50"/>
        </a:xfrm>
      </xdr:grpSpPr>
      <xdr:sp macro="" textlink="">
        <xdr:nvSpPr>
          <xdr:cNvPr id="162" name="Line 1338">
            <a:extLst>
              <a:ext uri="{FF2B5EF4-FFF2-40B4-BE49-F238E27FC236}">
                <a16:creationId xmlns:a16="http://schemas.microsoft.com/office/drawing/2014/main" id="{6EDFB693-45C1-4CE6-BE59-ABCA321EAE2D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Text Box 1339">
            <a:extLst>
              <a:ext uri="{FF2B5EF4-FFF2-40B4-BE49-F238E27FC236}">
                <a16:creationId xmlns:a16="http://schemas.microsoft.com/office/drawing/2014/main" id="{0FEC0AFF-3F85-4616-BD78-85404FA13C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257</xdr:row>
      <xdr:rowOff>142875</xdr:rowOff>
    </xdr:from>
    <xdr:to>
      <xdr:col>45</xdr:col>
      <xdr:colOff>171450</xdr:colOff>
      <xdr:row>260</xdr:row>
      <xdr:rowOff>95250</xdr:rowOff>
    </xdr:to>
    <xdr:grpSp>
      <xdr:nvGrpSpPr>
        <xdr:cNvPr id="164" name="Group 1340">
          <a:extLst>
            <a:ext uri="{FF2B5EF4-FFF2-40B4-BE49-F238E27FC236}">
              <a16:creationId xmlns:a16="http://schemas.microsoft.com/office/drawing/2014/main" id="{5F1E7783-FE36-46EA-AE89-A60DB3868FD2}"/>
            </a:ext>
          </a:extLst>
        </xdr:cNvPr>
        <xdr:cNvGrpSpPr>
          <a:grpSpLocks/>
        </xdr:cNvGrpSpPr>
      </xdr:nvGrpSpPr>
      <xdr:grpSpPr bwMode="auto">
        <a:xfrm>
          <a:off x="9172575" y="42719625"/>
          <a:ext cx="762000" cy="476250"/>
          <a:chOff x="1148" y="209"/>
          <a:chExt cx="95" cy="52"/>
        </a:xfrm>
      </xdr:grpSpPr>
      <xdr:sp macro="" textlink="">
        <xdr:nvSpPr>
          <xdr:cNvPr id="165" name="Line 1341">
            <a:extLst>
              <a:ext uri="{FF2B5EF4-FFF2-40B4-BE49-F238E27FC236}">
                <a16:creationId xmlns:a16="http://schemas.microsoft.com/office/drawing/2014/main" id="{72777F1A-742E-4602-8AB6-E1F1D31F1F32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Text Box 1342">
            <a:extLst>
              <a:ext uri="{FF2B5EF4-FFF2-40B4-BE49-F238E27FC236}">
                <a16:creationId xmlns:a16="http://schemas.microsoft.com/office/drawing/2014/main" id="{39CE8556-B45E-4208-BE9A-8AA414A7CB7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256</xdr:row>
      <xdr:rowOff>28575</xdr:rowOff>
    </xdr:from>
    <xdr:to>
      <xdr:col>62</xdr:col>
      <xdr:colOff>28575</xdr:colOff>
      <xdr:row>258</xdr:row>
      <xdr:rowOff>152400</xdr:rowOff>
    </xdr:to>
    <xdr:grpSp>
      <xdr:nvGrpSpPr>
        <xdr:cNvPr id="167" name="Group 1343">
          <a:extLst>
            <a:ext uri="{FF2B5EF4-FFF2-40B4-BE49-F238E27FC236}">
              <a16:creationId xmlns:a16="http://schemas.microsoft.com/office/drawing/2014/main" id="{81AE0EA0-09F4-4AF7-9681-FA7D60ECEB8A}"/>
            </a:ext>
          </a:extLst>
        </xdr:cNvPr>
        <xdr:cNvGrpSpPr>
          <a:grpSpLocks/>
        </xdr:cNvGrpSpPr>
      </xdr:nvGrpSpPr>
      <xdr:grpSpPr bwMode="auto">
        <a:xfrm>
          <a:off x="12630150" y="42383075"/>
          <a:ext cx="939800" cy="520700"/>
          <a:chOff x="986" y="117"/>
          <a:chExt cx="107" cy="50"/>
        </a:xfrm>
      </xdr:grpSpPr>
      <xdr:sp macro="" textlink="">
        <xdr:nvSpPr>
          <xdr:cNvPr id="168" name="Line 1344">
            <a:extLst>
              <a:ext uri="{FF2B5EF4-FFF2-40B4-BE49-F238E27FC236}">
                <a16:creationId xmlns:a16="http://schemas.microsoft.com/office/drawing/2014/main" id="{98F20DB1-BA9A-458D-B492-85BFFF6DED7D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Text Box 1345">
            <a:extLst>
              <a:ext uri="{FF2B5EF4-FFF2-40B4-BE49-F238E27FC236}">
                <a16:creationId xmlns:a16="http://schemas.microsoft.com/office/drawing/2014/main" id="{68092D9A-8CBE-4AE2-8E92-4B010EBC0A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257</xdr:row>
      <xdr:rowOff>142875</xdr:rowOff>
    </xdr:from>
    <xdr:to>
      <xdr:col>62</xdr:col>
      <xdr:colOff>171450</xdr:colOff>
      <xdr:row>260</xdr:row>
      <xdr:rowOff>95250</xdr:rowOff>
    </xdr:to>
    <xdr:grpSp>
      <xdr:nvGrpSpPr>
        <xdr:cNvPr id="170" name="Group 1346">
          <a:extLst>
            <a:ext uri="{FF2B5EF4-FFF2-40B4-BE49-F238E27FC236}">
              <a16:creationId xmlns:a16="http://schemas.microsoft.com/office/drawing/2014/main" id="{D11B5958-1098-4FAF-9F6F-88C82B96D2B5}"/>
            </a:ext>
          </a:extLst>
        </xdr:cNvPr>
        <xdr:cNvGrpSpPr>
          <a:grpSpLocks/>
        </xdr:cNvGrpSpPr>
      </xdr:nvGrpSpPr>
      <xdr:grpSpPr bwMode="auto">
        <a:xfrm>
          <a:off x="12950825" y="42719625"/>
          <a:ext cx="762000" cy="476250"/>
          <a:chOff x="1148" y="209"/>
          <a:chExt cx="95" cy="52"/>
        </a:xfrm>
      </xdr:grpSpPr>
      <xdr:sp macro="" textlink="">
        <xdr:nvSpPr>
          <xdr:cNvPr id="171" name="Line 1347">
            <a:extLst>
              <a:ext uri="{FF2B5EF4-FFF2-40B4-BE49-F238E27FC236}">
                <a16:creationId xmlns:a16="http://schemas.microsoft.com/office/drawing/2014/main" id="{91E178DA-7E50-4970-8EF1-B1B5F03A603E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Text Box 1348">
            <a:extLst>
              <a:ext uri="{FF2B5EF4-FFF2-40B4-BE49-F238E27FC236}">
                <a16:creationId xmlns:a16="http://schemas.microsoft.com/office/drawing/2014/main" id="{ED1ED11B-A6BE-4F10-B075-D5E6976FEE3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274</xdr:row>
      <xdr:rowOff>28575</xdr:rowOff>
    </xdr:from>
    <xdr:to>
      <xdr:col>45</xdr:col>
      <xdr:colOff>28575</xdr:colOff>
      <xdr:row>276</xdr:row>
      <xdr:rowOff>152400</xdr:rowOff>
    </xdr:to>
    <xdr:grpSp>
      <xdr:nvGrpSpPr>
        <xdr:cNvPr id="173" name="Group 1349">
          <a:extLst>
            <a:ext uri="{FF2B5EF4-FFF2-40B4-BE49-F238E27FC236}">
              <a16:creationId xmlns:a16="http://schemas.microsoft.com/office/drawing/2014/main" id="{365F2AD3-DC27-448E-8723-607DCDFAB462}"/>
            </a:ext>
          </a:extLst>
        </xdr:cNvPr>
        <xdr:cNvGrpSpPr>
          <a:grpSpLocks/>
        </xdr:cNvGrpSpPr>
      </xdr:nvGrpSpPr>
      <xdr:grpSpPr bwMode="auto">
        <a:xfrm>
          <a:off x="8851900" y="45446950"/>
          <a:ext cx="939800" cy="457200"/>
          <a:chOff x="986" y="117"/>
          <a:chExt cx="107" cy="50"/>
        </a:xfrm>
      </xdr:grpSpPr>
      <xdr:sp macro="" textlink="">
        <xdr:nvSpPr>
          <xdr:cNvPr id="174" name="Line 1350">
            <a:extLst>
              <a:ext uri="{FF2B5EF4-FFF2-40B4-BE49-F238E27FC236}">
                <a16:creationId xmlns:a16="http://schemas.microsoft.com/office/drawing/2014/main" id="{76E69E96-B602-49E9-8543-F539A71F229F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Text Box 1351">
            <a:extLst>
              <a:ext uri="{FF2B5EF4-FFF2-40B4-BE49-F238E27FC236}">
                <a16:creationId xmlns:a16="http://schemas.microsoft.com/office/drawing/2014/main" id="{A0953E76-457A-4168-93B8-48774A83630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275</xdr:row>
      <xdr:rowOff>142875</xdr:rowOff>
    </xdr:from>
    <xdr:to>
      <xdr:col>45</xdr:col>
      <xdr:colOff>171450</xdr:colOff>
      <xdr:row>278</xdr:row>
      <xdr:rowOff>95250</xdr:rowOff>
    </xdr:to>
    <xdr:grpSp>
      <xdr:nvGrpSpPr>
        <xdr:cNvPr id="176" name="Group 1352">
          <a:extLst>
            <a:ext uri="{FF2B5EF4-FFF2-40B4-BE49-F238E27FC236}">
              <a16:creationId xmlns:a16="http://schemas.microsoft.com/office/drawing/2014/main" id="{1EFE1D0E-6823-4FB4-93CB-B9B1A1771425}"/>
            </a:ext>
          </a:extLst>
        </xdr:cNvPr>
        <xdr:cNvGrpSpPr>
          <a:grpSpLocks/>
        </xdr:cNvGrpSpPr>
      </xdr:nvGrpSpPr>
      <xdr:grpSpPr bwMode="auto">
        <a:xfrm>
          <a:off x="9172575" y="45720000"/>
          <a:ext cx="762000" cy="476250"/>
          <a:chOff x="1148" y="209"/>
          <a:chExt cx="95" cy="52"/>
        </a:xfrm>
      </xdr:grpSpPr>
      <xdr:sp macro="" textlink="">
        <xdr:nvSpPr>
          <xdr:cNvPr id="177" name="Line 1353">
            <a:extLst>
              <a:ext uri="{FF2B5EF4-FFF2-40B4-BE49-F238E27FC236}">
                <a16:creationId xmlns:a16="http://schemas.microsoft.com/office/drawing/2014/main" id="{35721ADB-552B-4DD3-BBD7-0273D655249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Text Box 1354">
            <a:extLst>
              <a:ext uri="{FF2B5EF4-FFF2-40B4-BE49-F238E27FC236}">
                <a16:creationId xmlns:a16="http://schemas.microsoft.com/office/drawing/2014/main" id="{A724D132-900B-4E51-8898-10AD97F98D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274</xdr:row>
      <xdr:rowOff>28575</xdr:rowOff>
    </xdr:from>
    <xdr:to>
      <xdr:col>62</xdr:col>
      <xdr:colOff>28575</xdr:colOff>
      <xdr:row>276</xdr:row>
      <xdr:rowOff>152400</xdr:rowOff>
    </xdr:to>
    <xdr:grpSp>
      <xdr:nvGrpSpPr>
        <xdr:cNvPr id="179" name="Group 1355">
          <a:extLst>
            <a:ext uri="{FF2B5EF4-FFF2-40B4-BE49-F238E27FC236}">
              <a16:creationId xmlns:a16="http://schemas.microsoft.com/office/drawing/2014/main" id="{877C0CE4-B89D-4CEC-8161-44AC025B7A1F}"/>
            </a:ext>
          </a:extLst>
        </xdr:cNvPr>
        <xdr:cNvGrpSpPr>
          <a:grpSpLocks/>
        </xdr:cNvGrpSpPr>
      </xdr:nvGrpSpPr>
      <xdr:grpSpPr bwMode="auto">
        <a:xfrm>
          <a:off x="12630150" y="45446950"/>
          <a:ext cx="939800" cy="457200"/>
          <a:chOff x="986" y="117"/>
          <a:chExt cx="107" cy="50"/>
        </a:xfrm>
      </xdr:grpSpPr>
      <xdr:sp macro="" textlink="">
        <xdr:nvSpPr>
          <xdr:cNvPr id="180" name="Line 1356">
            <a:extLst>
              <a:ext uri="{FF2B5EF4-FFF2-40B4-BE49-F238E27FC236}">
                <a16:creationId xmlns:a16="http://schemas.microsoft.com/office/drawing/2014/main" id="{08D57799-CF12-466D-A9B6-649F2829E53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1" name="Text Box 1357">
            <a:extLst>
              <a:ext uri="{FF2B5EF4-FFF2-40B4-BE49-F238E27FC236}">
                <a16:creationId xmlns:a16="http://schemas.microsoft.com/office/drawing/2014/main" id="{DA73BA71-7851-4842-BDA4-2349B33439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275</xdr:row>
      <xdr:rowOff>142875</xdr:rowOff>
    </xdr:from>
    <xdr:to>
      <xdr:col>62</xdr:col>
      <xdr:colOff>171450</xdr:colOff>
      <xdr:row>278</xdr:row>
      <xdr:rowOff>95250</xdr:rowOff>
    </xdr:to>
    <xdr:grpSp>
      <xdr:nvGrpSpPr>
        <xdr:cNvPr id="182" name="Group 1358">
          <a:extLst>
            <a:ext uri="{FF2B5EF4-FFF2-40B4-BE49-F238E27FC236}">
              <a16:creationId xmlns:a16="http://schemas.microsoft.com/office/drawing/2014/main" id="{F454B73F-B148-44C2-BF36-7FA60568B846}"/>
            </a:ext>
          </a:extLst>
        </xdr:cNvPr>
        <xdr:cNvGrpSpPr>
          <a:grpSpLocks/>
        </xdr:cNvGrpSpPr>
      </xdr:nvGrpSpPr>
      <xdr:grpSpPr bwMode="auto">
        <a:xfrm>
          <a:off x="12950825" y="45720000"/>
          <a:ext cx="762000" cy="476250"/>
          <a:chOff x="1148" y="209"/>
          <a:chExt cx="95" cy="52"/>
        </a:xfrm>
      </xdr:grpSpPr>
      <xdr:sp macro="" textlink="">
        <xdr:nvSpPr>
          <xdr:cNvPr id="183" name="Line 1359">
            <a:extLst>
              <a:ext uri="{FF2B5EF4-FFF2-40B4-BE49-F238E27FC236}">
                <a16:creationId xmlns:a16="http://schemas.microsoft.com/office/drawing/2014/main" id="{7B3C67BB-B580-492D-88AB-B5252483E58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Text Box 1360">
            <a:extLst>
              <a:ext uri="{FF2B5EF4-FFF2-40B4-BE49-F238E27FC236}">
                <a16:creationId xmlns:a16="http://schemas.microsoft.com/office/drawing/2014/main" id="{A149D06D-839B-4EFC-9753-7332583C870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292</xdr:row>
      <xdr:rowOff>28575</xdr:rowOff>
    </xdr:from>
    <xdr:to>
      <xdr:col>45</xdr:col>
      <xdr:colOff>28575</xdr:colOff>
      <xdr:row>294</xdr:row>
      <xdr:rowOff>152400</xdr:rowOff>
    </xdr:to>
    <xdr:grpSp>
      <xdr:nvGrpSpPr>
        <xdr:cNvPr id="185" name="Group 1361">
          <a:extLst>
            <a:ext uri="{FF2B5EF4-FFF2-40B4-BE49-F238E27FC236}">
              <a16:creationId xmlns:a16="http://schemas.microsoft.com/office/drawing/2014/main" id="{F5C36810-A639-4F0A-A0B3-258EAAC0A0D2}"/>
            </a:ext>
          </a:extLst>
        </xdr:cNvPr>
        <xdr:cNvGrpSpPr>
          <a:grpSpLocks/>
        </xdr:cNvGrpSpPr>
      </xdr:nvGrpSpPr>
      <xdr:grpSpPr bwMode="auto">
        <a:xfrm>
          <a:off x="8851900" y="48447325"/>
          <a:ext cx="939800" cy="457200"/>
          <a:chOff x="986" y="117"/>
          <a:chExt cx="107" cy="50"/>
        </a:xfrm>
      </xdr:grpSpPr>
      <xdr:sp macro="" textlink="">
        <xdr:nvSpPr>
          <xdr:cNvPr id="186" name="Line 1362">
            <a:extLst>
              <a:ext uri="{FF2B5EF4-FFF2-40B4-BE49-F238E27FC236}">
                <a16:creationId xmlns:a16="http://schemas.microsoft.com/office/drawing/2014/main" id="{191F2A8F-F545-4032-827C-36B4EA6651E3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Text Box 1363">
            <a:extLst>
              <a:ext uri="{FF2B5EF4-FFF2-40B4-BE49-F238E27FC236}">
                <a16:creationId xmlns:a16="http://schemas.microsoft.com/office/drawing/2014/main" id="{84FAD434-5C58-4E7B-B57C-701B05549C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293</xdr:row>
      <xdr:rowOff>142875</xdr:rowOff>
    </xdr:from>
    <xdr:to>
      <xdr:col>45</xdr:col>
      <xdr:colOff>171450</xdr:colOff>
      <xdr:row>296</xdr:row>
      <xdr:rowOff>95250</xdr:rowOff>
    </xdr:to>
    <xdr:grpSp>
      <xdr:nvGrpSpPr>
        <xdr:cNvPr id="188" name="Group 1364">
          <a:extLst>
            <a:ext uri="{FF2B5EF4-FFF2-40B4-BE49-F238E27FC236}">
              <a16:creationId xmlns:a16="http://schemas.microsoft.com/office/drawing/2014/main" id="{2897800B-CFFA-4820-98FF-147006F55805}"/>
            </a:ext>
          </a:extLst>
        </xdr:cNvPr>
        <xdr:cNvGrpSpPr>
          <a:grpSpLocks/>
        </xdr:cNvGrpSpPr>
      </xdr:nvGrpSpPr>
      <xdr:grpSpPr bwMode="auto">
        <a:xfrm>
          <a:off x="9172575" y="48720375"/>
          <a:ext cx="762000" cy="476250"/>
          <a:chOff x="1148" y="209"/>
          <a:chExt cx="95" cy="52"/>
        </a:xfrm>
      </xdr:grpSpPr>
      <xdr:sp macro="" textlink="">
        <xdr:nvSpPr>
          <xdr:cNvPr id="189" name="Line 1365">
            <a:extLst>
              <a:ext uri="{FF2B5EF4-FFF2-40B4-BE49-F238E27FC236}">
                <a16:creationId xmlns:a16="http://schemas.microsoft.com/office/drawing/2014/main" id="{A068D66E-8238-4192-BBF4-E271E3560E6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Text Box 1366">
            <a:extLst>
              <a:ext uri="{FF2B5EF4-FFF2-40B4-BE49-F238E27FC236}">
                <a16:creationId xmlns:a16="http://schemas.microsoft.com/office/drawing/2014/main" id="{889CBC26-80EE-45FE-BAC9-AFB8EAEFE5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292</xdr:row>
      <xdr:rowOff>28575</xdr:rowOff>
    </xdr:from>
    <xdr:to>
      <xdr:col>62</xdr:col>
      <xdr:colOff>28575</xdr:colOff>
      <xdr:row>294</xdr:row>
      <xdr:rowOff>152400</xdr:rowOff>
    </xdr:to>
    <xdr:grpSp>
      <xdr:nvGrpSpPr>
        <xdr:cNvPr id="191" name="Group 1367">
          <a:extLst>
            <a:ext uri="{FF2B5EF4-FFF2-40B4-BE49-F238E27FC236}">
              <a16:creationId xmlns:a16="http://schemas.microsoft.com/office/drawing/2014/main" id="{FA28FCAA-87A2-40AC-91CF-9A210226386E}"/>
            </a:ext>
          </a:extLst>
        </xdr:cNvPr>
        <xdr:cNvGrpSpPr>
          <a:grpSpLocks/>
        </xdr:cNvGrpSpPr>
      </xdr:nvGrpSpPr>
      <xdr:grpSpPr bwMode="auto">
        <a:xfrm>
          <a:off x="12630150" y="48447325"/>
          <a:ext cx="939800" cy="457200"/>
          <a:chOff x="986" y="117"/>
          <a:chExt cx="107" cy="50"/>
        </a:xfrm>
      </xdr:grpSpPr>
      <xdr:sp macro="" textlink="">
        <xdr:nvSpPr>
          <xdr:cNvPr id="192" name="Line 1368">
            <a:extLst>
              <a:ext uri="{FF2B5EF4-FFF2-40B4-BE49-F238E27FC236}">
                <a16:creationId xmlns:a16="http://schemas.microsoft.com/office/drawing/2014/main" id="{F8E8C953-4532-4E30-9061-2DAD6CE82D59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Text Box 1369">
            <a:extLst>
              <a:ext uri="{FF2B5EF4-FFF2-40B4-BE49-F238E27FC236}">
                <a16:creationId xmlns:a16="http://schemas.microsoft.com/office/drawing/2014/main" id="{4F225BA1-9D9D-4F5F-8287-E4B1230777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293</xdr:row>
      <xdr:rowOff>142875</xdr:rowOff>
    </xdr:from>
    <xdr:to>
      <xdr:col>62</xdr:col>
      <xdr:colOff>171450</xdr:colOff>
      <xdr:row>296</xdr:row>
      <xdr:rowOff>95250</xdr:rowOff>
    </xdr:to>
    <xdr:grpSp>
      <xdr:nvGrpSpPr>
        <xdr:cNvPr id="194" name="Group 1370">
          <a:extLst>
            <a:ext uri="{FF2B5EF4-FFF2-40B4-BE49-F238E27FC236}">
              <a16:creationId xmlns:a16="http://schemas.microsoft.com/office/drawing/2014/main" id="{6E1EE498-8FE2-41DB-878B-00E105AEC3CD}"/>
            </a:ext>
          </a:extLst>
        </xdr:cNvPr>
        <xdr:cNvGrpSpPr>
          <a:grpSpLocks/>
        </xdr:cNvGrpSpPr>
      </xdr:nvGrpSpPr>
      <xdr:grpSpPr bwMode="auto">
        <a:xfrm>
          <a:off x="12950825" y="48720375"/>
          <a:ext cx="762000" cy="476250"/>
          <a:chOff x="1148" y="209"/>
          <a:chExt cx="95" cy="52"/>
        </a:xfrm>
      </xdr:grpSpPr>
      <xdr:sp macro="" textlink="">
        <xdr:nvSpPr>
          <xdr:cNvPr id="195" name="Line 1371">
            <a:extLst>
              <a:ext uri="{FF2B5EF4-FFF2-40B4-BE49-F238E27FC236}">
                <a16:creationId xmlns:a16="http://schemas.microsoft.com/office/drawing/2014/main" id="{5D8BB643-BA73-4A20-AE51-5CF975773DF9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" name="Text Box 1372">
            <a:extLst>
              <a:ext uri="{FF2B5EF4-FFF2-40B4-BE49-F238E27FC236}">
                <a16:creationId xmlns:a16="http://schemas.microsoft.com/office/drawing/2014/main" id="{AC00980A-1CE3-45EE-8E14-202D902FBF9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318</xdr:row>
      <xdr:rowOff>28575</xdr:rowOff>
    </xdr:from>
    <xdr:to>
      <xdr:col>45</xdr:col>
      <xdr:colOff>28575</xdr:colOff>
      <xdr:row>320</xdr:row>
      <xdr:rowOff>152400</xdr:rowOff>
    </xdr:to>
    <xdr:grpSp>
      <xdr:nvGrpSpPr>
        <xdr:cNvPr id="197" name="Group 1373">
          <a:extLst>
            <a:ext uri="{FF2B5EF4-FFF2-40B4-BE49-F238E27FC236}">
              <a16:creationId xmlns:a16="http://schemas.microsoft.com/office/drawing/2014/main" id="{3B9361F8-B587-4545-B4C2-2837268EFFF6}"/>
            </a:ext>
          </a:extLst>
        </xdr:cNvPr>
        <xdr:cNvGrpSpPr>
          <a:grpSpLocks/>
        </xdr:cNvGrpSpPr>
      </xdr:nvGrpSpPr>
      <xdr:grpSpPr bwMode="auto">
        <a:xfrm>
          <a:off x="8851900" y="52670075"/>
          <a:ext cx="939800" cy="520700"/>
          <a:chOff x="986" y="117"/>
          <a:chExt cx="107" cy="50"/>
        </a:xfrm>
      </xdr:grpSpPr>
      <xdr:sp macro="" textlink="">
        <xdr:nvSpPr>
          <xdr:cNvPr id="198" name="Line 1374">
            <a:extLst>
              <a:ext uri="{FF2B5EF4-FFF2-40B4-BE49-F238E27FC236}">
                <a16:creationId xmlns:a16="http://schemas.microsoft.com/office/drawing/2014/main" id="{241BFCEF-34B2-4E76-91D5-2F033E9C0525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Text Box 1375">
            <a:extLst>
              <a:ext uri="{FF2B5EF4-FFF2-40B4-BE49-F238E27FC236}">
                <a16:creationId xmlns:a16="http://schemas.microsoft.com/office/drawing/2014/main" id="{F68EAB83-D836-4346-ADC5-B8C8407935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319</xdr:row>
      <xdr:rowOff>142875</xdr:rowOff>
    </xdr:from>
    <xdr:to>
      <xdr:col>45</xdr:col>
      <xdr:colOff>171450</xdr:colOff>
      <xdr:row>322</xdr:row>
      <xdr:rowOff>95250</xdr:rowOff>
    </xdr:to>
    <xdr:grpSp>
      <xdr:nvGrpSpPr>
        <xdr:cNvPr id="200" name="Group 1376">
          <a:extLst>
            <a:ext uri="{FF2B5EF4-FFF2-40B4-BE49-F238E27FC236}">
              <a16:creationId xmlns:a16="http://schemas.microsoft.com/office/drawing/2014/main" id="{20E0807D-9D60-47BF-BEFC-F0615AF4A98D}"/>
            </a:ext>
          </a:extLst>
        </xdr:cNvPr>
        <xdr:cNvGrpSpPr>
          <a:grpSpLocks/>
        </xdr:cNvGrpSpPr>
      </xdr:nvGrpSpPr>
      <xdr:grpSpPr bwMode="auto">
        <a:xfrm>
          <a:off x="9172575" y="53006625"/>
          <a:ext cx="762000" cy="476250"/>
          <a:chOff x="1148" y="209"/>
          <a:chExt cx="95" cy="52"/>
        </a:xfrm>
      </xdr:grpSpPr>
      <xdr:sp macro="" textlink="">
        <xdr:nvSpPr>
          <xdr:cNvPr id="201" name="Line 1377">
            <a:extLst>
              <a:ext uri="{FF2B5EF4-FFF2-40B4-BE49-F238E27FC236}">
                <a16:creationId xmlns:a16="http://schemas.microsoft.com/office/drawing/2014/main" id="{E0A38F7F-E09A-4E2F-807E-821F96CFD616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Text Box 1378">
            <a:extLst>
              <a:ext uri="{FF2B5EF4-FFF2-40B4-BE49-F238E27FC236}">
                <a16:creationId xmlns:a16="http://schemas.microsoft.com/office/drawing/2014/main" id="{88AC5550-168C-46D5-B18E-E1012D6251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318</xdr:row>
      <xdr:rowOff>28575</xdr:rowOff>
    </xdr:from>
    <xdr:to>
      <xdr:col>62</xdr:col>
      <xdr:colOff>28575</xdr:colOff>
      <xdr:row>320</xdr:row>
      <xdr:rowOff>152400</xdr:rowOff>
    </xdr:to>
    <xdr:grpSp>
      <xdr:nvGrpSpPr>
        <xdr:cNvPr id="203" name="Group 1379">
          <a:extLst>
            <a:ext uri="{FF2B5EF4-FFF2-40B4-BE49-F238E27FC236}">
              <a16:creationId xmlns:a16="http://schemas.microsoft.com/office/drawing/2014/main" id="{9BE47D1D-4418-4B2C-B083-9789F89D950E}"/>
            </a:ext>
          </a:extLst>
        </xdr:cNvPr>
        <xdr:cNvGrpSpPr>
          <a:grpSpLocks/>
        </xdr:cNvGrpSpPr>
      </xdr:nvGrpSpPr>
      <xdr:grpSpPr bwMode="auto">
        <a:xfrm>
          <a:off x="12630150" y="52670075"/>
          <a:ext cx="939800" cy="520700"/>
          <a:chOff x="986" y="117"/>
          <a:chExt cx="107" cy="50"/>
        </a:xfrm>
      </xdr:grpSpPr>
      <xdr:sp macro="" textlink="">
        <xdr:nvSpPr>
          <xdr:cNvPr id="204" name="Line 1380">
            <a:extLst>
              <a:ext uri="{FF2B5EF4-FFF2-40B4-BE49-F238E27FC236}">
                <a16:creationId xmlns:a16="http://schemas.microsoft.com/office/drawing/2014/main" id="{8C2576EF-9E3D-49A0-B279-81CDB5D87ED2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Text Box 1381">
            <a:extLst>
              <a:ext uri="{FF2B5EF4-FFF2-40B4-BE49-F238E27FC236}">
                <a16:creationId xmlns:a16="http://schemas.microsoft.com/office/drawing/2014/main" id="{12255ED3-F60B-4367-8FE3-DEDEF343B5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319</xdr:row>
      <xdr:rowOff>142875</xdr:rowOff>
    </xdr:from>
    <xdr:to>
      <xdr:col>62</xdr:col>
      <xdr:colOff>171450</xdr:colOff>
      <xdr:row>322</xdr:row>
      <xdr:rowOff>95250</xdr:rowOff>
    </xdr:to>
    <xdr:grpSp>
      <xdr:nvGrpSpPr>
        <xdr:cNvPr id="206" name="Group 1382">
          <a:extLst>
            <a:ext uri="{FF2B5EF4-FFF2-40B4-BE49-F238E27FC236}">
              <a16:creationId xmlns:a16="http://schemas.microsoft.com/office/drawing/2014/main" id="{05736490-9267-43F2-9D06-0AEBB7AAD838}"/>
            </a:ext>
          </a:extLst>
        </xdr:cNvPr>
        <xdr:cNvGrpSpPr>
          <a:grpSpLocks/>
        </xdr:cNvGrpSpPr>
      </xdr:nvGrpSpPr>
      <xdr:grpSpPr bwMode="auto">
        <a:xfrm>
          <a:off x="12950825" y="53006625"/>
          <a:ext cx="762000" cy="476250"/>
          <a:chOff x="1148" y="209"/>
          <a:chExt cx="95" cy="52"/>
        </a:xfrm>
      </xdr:grpSpPr>
      <xdr:sp macro="" textlink="">
        <xdr:nvSpPr>
          <xdr:cNvPr id="207" name="Line 1383">
            <a:extLst>
              <a:ext uri="{FF2B5EF4-FFF2-40B4-BE49-F238E27FC236}">
                <a16:creationId xmlns:a16="http://schemas.microsoft.com/office/drawing/2014/main" id="{4D2EB500-4731-4CF0-B67A-F1EB2C170BCD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" name="Text Box 1384">
            <a:extLst>
              <a:ext uri="{FF2B5EF4-FFF2-40B4-BE49-F238E27FC236}">
                <a16:creationId xmlns:a16="http://schemas.microsoft.com/office/drawing/2014/main" id="{D312D964-9582-40EA-B77B-5F56CB4603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336</xdr:row>
      <xdr:rowOff>28575</xdr:rowOff>
    </xdr:from>
    <xdr:to>
      <xdr:col>45</xdr:col>
      <xdr:colOff>28575</xdr:colOff>
      <xdr:row>338</xdr:row>
      <xdr:rowOff>152400</xdr:rowOff>
    </xdr:to>
    <xdr:grpSp>
      <xdr:nvGrpSpPr>
        <xdr:cNvPr id="209" name="Group 1385">
          <a:extLst>
            <a:ext uri="{FF2B5EF4-FFF2-40B4-BE49-F238E27FC236}">
              <a16:creationId xmlns:a16="http://schemas.microsoft.com/office/drawing/2014/main" id="{C74332DF-27E4-44EF-AFE6-56EAE427F499}"/>
            </a:ext>
          </a:extLst>
        </xdr:cNvPr>
        <xdr:cNvGrpSpPr>
          <a:grpSpLocks/>
        </xdr:cNvGrpSpPr>
      </xdr:nvGrpSpPr>
      <xdr:grpSpPr bwMode="auto">
        <a:xfrm>
          <a:off x="8851900" y="55733950"/>
          <a:ext cx="939800" cy="457200"/>
          <a:chOff x="986" y="117"/>
          <a:chExt cx="107" cy="50"/>
        </a:xfrm>
      </xdr:grpSpPr>
      <xdr:sp macro="" textlink="">
        <xdr:nvSpPr>
          <xdr:cNvPr id="210" name="Line 1386">
            <a:extLst>
              <a:ext uri="{FF2B5EF4-FFF2-40B4-BE49-F238E27FC236}">
                <a16:creationId xmlns:a16="http://schemas.microsoft.com/office/drawing/2014/main" id="{143DC130-917C-4FFD-BA17-17B5AD6065D9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Text Box 1387">
            <a:extLst>
              <a:ext uri="{FF2B5EF4-FFF2-40B4-BE49-F238E27FC236}">
                <a16:creationId xmlns:a16="http://schemas.microsoft.com/office/drawing/2014/main" id="{9F80D436-F6D8-4C24-90DA-FA0B206F26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337</xdr:row>
      <xdr:rowOff>142875</xdr:rowOff>
    </xdr:from>
    <xdr:to>
      <xdr:col>45</xdr:col>
      <xdr:colOff>171450</xdr:colOff>
      <xdr:row>340</xdr:row>
      <xdr:rowOff>95250</xdr:rowOff>
    </xdr:to>
    <xdr:grpSp>
      <xdr:nvGrpSpPr>
        <xdr:cNvPr id="212" name="Group 1388">
          <a:extLst>
            <a:ext uri="{FF2B5EF4-FFF2-40B4-BE49-F238E27FC236}">
              <a16:creationId xmlns:a16="http://schemas.microsoft.com/office/drawing/2014/main" id="{2F03A821-2DE8-4F4E-BA84-19A0310DCABF}"/>
            </a:ext>
          </a:extLst>
        </xdr:cNvPr>
        <xdr:cNvGrpSpPr>
          <a:grpSpLocks/>
        </xdr:cNvGrpSpPr>
      </xdr:nvGrpSpPr>
      <xdr:grpSpPr bwMode="auto">
        <a:xfrm>
          <a:off x="9172575" y="56007000"/>
          <a:ext cx="762000" cy="476250"/>
          <a:chOff x="1148" y="209"/>
          <a:chExt cx="95" cy="52"/>
        </a:xfrm>
      </xdr:grpSpPr>
      <xdr:sp macro="" textlink="">
        <xdr:nvSpPr>
          <xdr:cNvPr id="213" name="Line 1389">
            <a:extLst>
              <a:ext uri="{FF2B5EF4-FFF2-40B4-BE49-F238E27FC236}">
                <a16:creationId xmlns:a16="http://schemas.microsoft.com/office/drawing/2014/main" id="{507E87A5-FB99-4FCC-AAC2-4F85834CB25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" name="Text Box 1390">
            <a:extLst>
              <a:ext uri="{FF2B5EF4-FFF2-40B4-BE49-F238E27FC236}">
                <a16:creationId xmlns:a16="http://schemas.microsoft.com/office/drawing/2014/main" id="{93AEF71D-6BEB-474C-B2C4-475D12D2E8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336</xdr:row>
      <xdr:rowOff>28575</xdr:rowOff>
    </xdr:from>
    <xdr:to>
      <xdr:col>62</xdr:col>
      <xdr:colOff>28575</xdr:colOff>
      <xdr:row>338</xdr:row>
      <xdr:rowOff>152400</xdr:rowOff>
    </xdr:to>
    <xdr:grpSp>
      <xdr:nvGrpSpPr>
        <xdr:cNvPr id="215" name="Group 1391">
          <a:extLst>
            <a:ext uri="{FF2B5EF4-FFF2-40B4-BE49-F238E27FC236}">
              <a16:creationId xmlns:a16="http://schemas.microsoft.com/office/drawing/2014/main" id="{865A4B8C-D347-4DC2-9000-DFDCC105486B}"/>
            </a:ext>
          </a:extLst>
        </xdr:cNvPr>
        <xdr:cNvGrpSpPr>
          <a:grpSpLocks/>
        </xdr:cNvGrpSpPr>
      </xdr:nvGrpSpPr>
      <xdr:grpSpPr bwMode="auto">
        <a:xfrm>
          <a:off x="12630150" y="55733950"/>
          <a:ext cx="939800" cy="457200"/>
          <a:chOff x="986" y="117"/>
          <a:chExt cx="107" cy="50"/>
        </a:xfrm>
      </xdr:grpSpPr>
      <xdr:sp macro="" textlink="">
        <xdr:nvSpPr>
          <xdr:cNvPr id="216" name="Line 1392">
            <a:extLst>
              <a:ext uri="{FF2B5EF4-FFF2-40B4-BE49-F238E27FC236}">
                <a16:creationId xmlns:a16="http://schemas.microsoft.com/office/drawing/2014/main" id="{42E0F77D-DB12-416D-B3AC-C377304CB50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" name="Text Box 1393">
            <a:extLst>
              <a:ext uri="{FF2B5EF4-FFF2-40B4-BE49-F238E27FC236}">
                <a16:creationId xmlns:a16="http://schemas.microsoft.com/office/drawing/2014/main" id="{D1C1EA2E-3A7E-4544-A952-B2ED609BD1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337</xdr:row>
      <xdr:rowOff>142875</xdr:rowOff>
    </xdr:from>
    <xdr:to>
      <xdr:col>62</xdr:col>
      <xdr:colOff>171450</xdr:colOff>
      <xdr:row>340</xdr:row>
      <xdr:rowOff>95250</xdr:rowOff>
    </xdr:to>
    <xdr:grpSp>
      <xdr:nvGrpSpPr>
        <xdr:cNvPr id="218" name="Group 1394">
          <a:extLst>
            <a:ext uri="{FF2B5EF4-FFF2-40B4-BE49-F238E27FC236}">
              <a16:creationId xmlns:a16="http://schemas.microsoft.com/office/drawing/2014/main" id="{4984E927-FEDB-477C-97CB-43A7095125FC}"/>
            </a:ext>
          </a:extLst>
        </xdr:cNvPr>
        <xdr:cNvGrpSpPr>
          <a:grpSpLocks/>
        </xdr:cNvGrpSpPr>
      </xdr:nvGrpSpPr>
      <xdr:grpSpPr bwMode="auto">
        <a:xfrm>
          <a:off x="12950825" y="56007000"/>
          <a:ext cx="762000" cy="476250"/>
          <a:chOff x="1148" y="209"/>
          <a:chExt cx="95" cy="52"/>
        </a:xfrm>
      </xdr:grpSpPr>
      <xdr:sp macro="" textlink="">
        <xdr:nvSpPr>
          <xdr:cNvPr id="219" name="Line 1395">
            <a:extLst>
              <a:ext uri="{FF2B5EF4-FFF2-40B4-BE49-F238E27FC236}">
                <a16:creationId xmlns:a16="http://schemas.microsoft.com/office/drawing/2014/main" id="{EDB671A9-2FAF-464A-ABDC-8EC438D08E52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Text Box 1396">
            <a:extLst>
              <a:ext uri="{FF2B5EF4-FFF2-40B4-BE49-F238E27FC236}">
                <a16:creationId xmlns:a16="http://schemas.microsoft.com/office/drawing/2014/main" id="{265E7027-B227-4846-9DA8-22291C58D2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354</xdr:row>
      <xdr:rowOff>28575</xdr:rowOff>
    </xdr:from>
    <xdr:to>
      <xdr:col>45</xdr:col>
      <xdr:colOff>28575</xdr:colOff>
      <xdr:row>356</xdr:row>
      <xdr:rowOff>152400</xdr:rowOff>
    </xdr:to>
    <xdr:grpSp>
      <xdr:nvGrpSpPr>
        <xdr:cNvPr id="221" name="Group 1397">
          <a:extLst>
            <a:ext uri="{FF2B5EF4-FFF2-40B4-BE49-F238E27FC236}">
              <a16:creationId xmlns:a16="http://schemas.microsoft.com/office/drawing/2014/main" id="{C6D44CB0-4B11-4A93-B570-838390DF4E0A}"/>
            </a:ext>
          </a:extLst>
        </xdr:cNvPr>
        <xdr:cNvGrpSpPr>
          <a:grpSpLocks/>
        </xdr:cNvGrpSpPr>
      </xdr:nvGrpSpPr>
      <xdr:grpSpPr bwMode="auto">
        <a:xfrm>
          <a:off x="8851900" y="58734325"/>
          <a:ext cx="939800" cy="457200"/>
          <a:chOff x="986" y="117"/>
          <a:chExt cx="107" cy="50"/>
        </a:xfrm>
      </xdr:grpSpPr>
      <xdr:sp macro="" textlink="">
        <xdr:nvSpPr>
          <xdr:cNvPr id="222" name="Line 1398">
            <a:extLst>
              <a:ext uri="{FF2B5EF4-FFF2-40B4-BE49-F238E27FC236}">
                <a16:creationId xmlns:a16="http://schemas.microsoft.com/office/drawing/2014/main" id="{9671C3D5-EDE8-48AA-BEF8-91A1E312B63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Text Box 1399">
            <a:extLst>
              <a:ext uri="{FF2B5EF4-FFF2-40B4-BE49-F238E27FC236}">
                <a16:creationId xmlns:a16="http://schemas.microsoft.com/office/drawing/2014/main" id="{10A0C60E-7E06-4865-8924-9D6585B18E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355</xdr:row>
      <xdr:rowOff>142875</xdr:rowOff>
    </xdr:from>
    <xdr:to>
      <xdr:col>45</xdr:col>
      <xdr:colOff>171450</xdr:colOff>
      <xdr:row>358</xdr:row>
      <xdr:rowOff>95250</xdr:rowOff>
    </xdr:to>
    <xdr:grpSp>
      <xdr:nvGrpSpPr>
        <xdr:cNvPr id="224" name="Group 1400">
          <a:extLst>
            <a:ext uri="{FF2B5EF4-FFF2-40B4-BE49-F238E27FC236}">
              <a16:creationId xmlns:a16="http://schemas.microsoft.com/office/drawing/2014/main" id="{B9C03F46-8593-4D8E-91B2-6E44D32608C5}"/>
            </a:ext>
          </a:extLst>
        </xdr:cNvPr>
        <xdr:cNvGrpSpPr>
          <a:grpSpLocks/>
        </xdr:cNvGrpSpPr>
      </xdr:nvGrpSpPr>
      <xdr:grpSpPr bwMode="auto">
        <a:xfrm>
          <a:off x="9172575" y="59007375"/>
          <a:ext cx="762000" cy="476250"/>
          <a:chOff x="1148" y="209"/>
          <a:chExt cx="95" cy="52"/>
        </a:xfrm>
      </xdr:grpSpPr>
      <xdr:sp macro="" textlink="">
        <xdr:nvSpPr>
          <xdr:cNvPr id="225" name="Line 1401">
            <a:extLst>
              <a:ext uri="{FF2B5EF4-FFF2-40B4-BE49-F238E27FC236}">
                <a16:creationId xmlns:a16="http://schemas.microsoft.com/office/drawing/2014/main" id="{D8613CAC-8C80-43A1-9DC6-3469440EC62B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" name="Text Box 1402">
            <a:extLst>
              <a:ext uri="{FF2B5EF4-FFF2-40B4-BE49-F238E27FC236}">
                <a16:creationId xmlns:a16="http://schemas.microsoft.com/office/drawing/2014/main" id="{1CB61EBB-6CEC-47C3-96BC-77886BDA61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354</xdr:row>
      <xdr:rowOff>28575</xdr:rowOff>
    </xdr:from>
    <xdr:to>
      <xdr:col>62</xdr:col>
      <xdr:colOff>28575</xdr:colOff>
      <xdr:row>356</xdr:row>
      <xdr:rowOff>152400</xdr:rowOff>
    </xdr:to>
    <xdr:grpSp>
      <xdr:nvGrpSpPr>
        <xdr:cNvPr id="227" name="Group 1403">
          <a:extLst>
            <a:ext uri="{FF2B5EF4-FFF2-40B4-BE49-F238E27FC236}">
              <a16:creationId xmlns:a16="http://schemas.microsoft.com/office/drawing/2014/main" id="{6C566C38-00D5-41D7-B360-7315401B5383}"/>
            </a:ext>
          </a:extLst>
        </xdr:cNvPr>
        <xdr:cNvGrpSpPr>
          <a:grpSpLocks/>
        </xdr:cNvGrpSpPr>
      </xdr:nvGrpSpPr>
      <xdr:grpSpPr bwMode="auto">
        <a:xfrm>
          <a:off x="12630150" y="58734325"/>
          <a:ext cx="939800" cy="457200"/>
          <a:chOff x="986" y="117"/>
          <a:chExt cx="107" cy="50"/>
        </a:xfrm>
      </xdr:grpSpPr>
      <xdr:sp macro="" textlink="">
        <xdr:nvSpPr>
          <xdr:cNvPr id="228" name="Line 1404">
            <a:extLst>
              <a:ext uri="{FF2B5EF4-FFF2-40B4-BE49-F238E27FC236}">
                <a16:creationId xmlns:a16="http://schemas.microsoft.com/office/drawing/2014/main" id="{8304B4A0-5D60-4F30-A45A-699D0D0ED401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" name="Text Box 1405">
            <a:extLst>
              <a:ext uri="{FF2B5EF4-FFF2-40B4-BE49-F238E27FC236}">
                <a16:creationId xmlns:a16="http://schemas.microsoft.com/office/drawing/2014/main" id="{42F49A74-8737-4EAE-A6AE-16D62F3382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355</xdr:row>
      <xdr:rowOff>142875</xdr:rowOff>
    </xdr:from>
    <xdr:to>
      <xdr:col>62</xdr:col>
      <xdr:colOff>171450</xdr:colOff>
      <xdr:row>358</xdr:row>
      <xdr:rowOff>95250</xdr:rowOff>
    </xdr:to>
    <xdr:grpSp>
      <xdr:nvGrpSpPr>
        <xdr:cNvPr id="230" name="Group 1406">
          <a:extLst>
            <a:ext uri="{FF2B5EF4-FFF2-40B4-BE49-F238E27FC236}">
              <a16:creationId xmlns:a16="http://schemas.microsoft.com/office/drawing/2014/main" id="{5215BF3D-0AC2-46BB-87E1-5EEE10AC28F2}"/>
            </a:ext>
          </a:extLst>
        </xdr:cNvPr>
        <xdr:cNvGrpSpPr>
          <a:grpSpLocks/>
        </xdr:cNvGrpSpPr>
      </xdr:nvGrpSpPr>
      <xdr:grpSpPr bwMode="auto">
        <a:xfrm>
          <a:off x="12950825" y="59007375"/>
          <a:ext cx="762000" cy="476250"/>
          <a:chOff x="1148" y="209"/>
          <a:chExt cx="95" cy="52"/>
        </a:xfrm>
      </xdr:grpSpPr>
      <xdr:sp macro="" textlink="">
        <xdr:nvSpPr>
          <xdr:cNvPr id="231" name="Line 1407">
            <a:extLst>
              <a:ext uri="{FF2B5EF4-FFF2-40B4-BE49-F238E27FC236}">
                <a16:creationId xmlns:a16="http://schemas.microsoft.com/office/drawing/2014/main" id="{B821E859-B6B0-4AFD-B83F-77A41702237F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" name="Text Box 1408">
            <a:extLst>
              <a:ext uri="{FF2B5EF4-FFF2-40B4-BE49-F238E27FC236}">
                <a16:creationId xmlns:a16="http://schemas.microsoft.com/office/drawing/2014/main" id="{059040B0-C47D-42C6-8CCC-64754B1269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 editAs="oneCell">
    <xdr:from>
      <xdr:col>64</xdr:col>
      <xdr:colOff>104775</xdr:colOff>
      <xdr:row>34</xdr:row>
      <xdr:rowOff>47625</xdr:rowOff>
    </xdr:from>
    <xdr:to>
      <xdr:col>65</xdr:col>
      <xdr:colOff>66675</xdr:colOff>
      <xdr:row>35</xdr:row>
      <xdr:rowOff>95250</xdr:rowOff>
    </xdr:to>
    <xdr:pic>
      <xdr:nvPicPr>
        <xdr:cNvPr id="233" name="Picture 1409" descr="red_01">
          <a:extLst>
            <a:ext uri="{FF2B5EF4-FFF2-40B4-BE49-F238E27FC236}">
              <a16:creationId xmlns:a16="http://schemas.microsoft.com/office/drawing/2014/main" id="{C4BCCE29-B467-40A4-8E4C-4686FE9E9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57943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36</xdr:row>
      <xdr:rowOff>47625</xdr:rowOff>
    </xdr:from>
    <xdr:to>
      <xdr:col>65</xdr:col>
      <xdr:colOff>66675</xdr:colOff>
      <xdr:row>37</xdr:row>
      <xdr:rowOff>95250</xdr:rowOff>
    </xdr:to>
    <xdr:pic>
      <xdr:nvPicPr>
        <xdr:cNvPr id="234" name="Picture 1410" descr="red_02">
          <a:extLst>
            <a:ext uri="{FF2B5EF4-FFF2-40B4-BE49-F238E27FC236}">
              <a16:creationId xmlns:a16="http://schemas.microsoft.com/office/drawing/2014/main" id="{D28A295B-D679-4F87-B631-B8017C887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1499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38</xdr:row>
      <xdr:rowOff>47625</xdr:rowOff>
    </xdr:from>
    <xdr:to>
      <xdr:col>65</xdr:col>
      <xdr:colOff>66675</xdr:colOff>
      <xdr:row>39</xdr:row>
      <xdr:rowOff>95250</xdr:rowOff>
    </xdr:to>
    <xdr:pic>
      <xdr:nvPicPr>
        <xdr:cNvPr id="235" name="Picture 1411" descr="red_03">
          <a:extLst>
            <a:ext uri="{FF2B5EF4-FFF2-40B4-BE49-F238E27FC236}">
              <a16:creationId xmlns:a16="http://schemas.microsoft.com/office/drawing/2014/main" id="{9577FE7F-13AB-4C5F-8B30-B02720B17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5055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40</xdr:row>
      <xdr:rowOff>47625</xdr:rowOff>
    </xdr:from>
    <xdr:to>
      <xdr:col>65</xdr:col>
      <xdr:colOff>66675</xdr:colOff>
      <xdr:row>41</xdr:row>
      <xdr:rowOff>95250</xdr:rowOff>
    </xdr:to>
    <xdr:pic>
      <xdr:nvPicPr>
        <xdr:cNvPr id="236" name="Picture 1412" descr="red_04">
          <a:extLst>
            <a:ext uri="{FF2B5EF4-FFF2-40B4-BE49-F238E27FC236}">
              <a16:creationId xmlns:a16="http://schemas.microsoft.com/office/drawing/2014/main" id="{CCB4754F-1365-4FBB-A7DD-7D498BDCA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8611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42</xdr:row>
      <xdr:rowOff>47625</xdr:rowOff>
    </xdr:from>
    <xdr:to>
      <xdr:col>65</xdr:col>
      <xdr:colOff>66675</xdr:colOff>
      <xdr:row>44</xdr:row>
      <xdr:rowOff>38100</xdr:rowOff>
    </xdr:to>
    <xdr:pic>
      <xdr:nvPicPr>
        <xdr:cNvPr id="237" name="Picture 1413" descr="red_05">
          <a:extLst>
            <a:ext uri="{FF2B5EF4-FFF2-40B4-BE49-F238E27FC236}">
              <a16:creationId xmlns:a16="http://schemas.microsoft.com/office/drawing/2014/main" id="{60CF97E8-C10C-4BA1-A9B6-CFEAC6FC5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72167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45</xdr:row>
      <xdr:rowOff>0</xdr:rowOff>
    </xdr:from>
    <xdr:to>
      <xdr:col>65</xdr:col>
      <xdr:colOff>66675</xdr:colOff>
      <xdr:row>46</xdr:row>
      <xdr:rowOff>47625</xdr:rowOff>
    </xdr:to>
    <xdr:pic>
      <xdr:nvPicPr>
        <xdr:cNvPr id="238" name="Picture 1414" descr="red_06">
          <a:extLst>
            <a:ext uri="{FF2B5EF4-FFF2-40B4-BE49-F238E27FC236}">
              <a16:creationId xmlns:a16="http://schemas.microsoft.com/office/drawing/2014/main" id="{F2E12D62-0161-4D63-8AD3-50362C06F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7575550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94</xdr:row>
      <xdr:rowOff>47625</xdr:rowOff>
    </xdr:from>
    <xdr:to>
      <xdr:col>65</xdr:col>
      <xdr:colOff>161925</xdr:colOff>
      <xdr:row>95</xdr:row>
      <xdr:rowOff>95251</xdr:rowOff>
    </xdr:to>
    <xdr:pic>
      <xdr:nvPicPr>
        <xdr:cNvPr id="239" name="Picture 1415" descr="red_07">
          <a:extLst>
            <a:ext uri="{FF2B5EF4-FFF2-40B4-BE49-F238E27FC236}">
              <a16:creationId xmlns:a16="http://schemas.microsoft.com/office/drawing/2014/main" id="{445A7E9D-B2A8-4404-8DEB-54B4E9AE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59226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96</xdr:row>
      <xdr:rowOff>47625</xdr:rowOff>
    </xdr:from>
    <xdr:to>
      <xdr:col>65</xdr:col>
      <xdr:colOff>161925</xdr:colOff>
      <xdr:row>97</xdr:row>
      <xdr:rowOff>95250</xdr:rowOff>
    </xdr:to>
    <xdr:pic>
      <xdr:nvPicPr>
        <xdr:cNvPr id="240" name="Picture 1416" descr="red_08">
          <a:extLst>
            <a:ext uri="{FF2B5EF4-FFF2-40B4-BE49-F238E27FC236}">
              <a16:creationId xmlns:a16="http://schemas.microsoft.com/office/drawing/2014/main" id="{4C9D465C-9254-40C8-9E24-58A5581B8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2782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98</xdr:row>
      <xdr:rowOff>47625</xdr:rowOff>
    </xdr:from>
    <xdr:to>
      <xdr:col>65</xdr:col>
      <xdr:colOff>161925</xdr:colOff>
      <xdr:row>99</xdr:row>
      <xdr:rowOff>95251</xdr:rowOff>
    </xdr:to>
    <xdr:pic>
      <xdr:nvPicPr>
        <xdr:cNvPr id="241" name="Picture 1417" descr="red_09">
          <a:extLst>
            <a:ext uri="{FF2B5EF4-FFF2-40B4-BE49-F238E27FC236}">
              <a16:creationId xmlns:a16="http://schemas.microsoft.com/office/drawing/2014/main" id="{353D9DF4-3629-40C4-9E51-3C06E9272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6338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100</xdr:row>
      <xdr:rowOff>47625</xdr:rowOff>
    </xdr:from>
    <xdr:to>
      <xdr:col>65</xdr:col>
      <xdr:colOff>161925</xdr:colOff>
      <xdr:row>101</xdr:row>
      <xdr:rowOff>95250</xdr:rowOff>
    </xdr:to>
    <xdr:pic>
      <xdr:nvPicPr>
        <xdr:cNvPr id="242" name="Picture 1418" descr="red_10">
          <a:extLst>
            <a:ext uri="{FF2B5EF4-FFF2-40B4-BE49-F238E27FC236}">
              <a16:creationId xmlns:a16="http://schemas.microsoft.com/office/drawing/2014/main" id="{8226D24B-4924-40EE-9B2E-06FB04E03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9894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102</xdr:row>
      <xdr:rowOff>47625</xdr:rowOff>
    </xdr:from>
    <xdr:to>
      <xdr:col>65</xdr:col>
      <xdr:colOff>161925</xdr:colOff>
      <xdr:row>103</xdr:row>
      <xdr:rowOff>95251</xdr:rowOff>
    </xdr:to>
    <xdr:pic>
      <xdr:nvPicPr>
        <xdr:cNvPr id="243" name="Picture 1419" descr="red_11">
          <a:extLst>
            <a:ext uri="{FF2B5EF4-FFF2-40B4-BE49-F238E27FC236}">
              <a16:creationId xmlns:a16="http://schemas.microsoft.com/office/drawing/2014/main" id="{31626720-DADB-4B06-BF18-CDD0428C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73450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104</xdr:row>
      <xdr:rowOff>47625</xdr:rowOff>
    </xdr:from>
    <xdr:to>
      <xdr:col>65</xdr:col>
      <xdr:colOff>161925</xdr:colOff>
      <xdr:row>106</xdr:row>
      <xdr:rowOff>40481</xdr:rowOff>
    </xdr:to>
    <xdr:pic>
      <xdr:nvPicPr>
        <xdr:cNvPr id="244" name="Picture 1420" descr="red_12">
          <a:extLst>
            <a:ext uri="{FF2B5EF4-FFF2-40B4-BE49-F238E27FC236}">
              <a16:creationId xmlns:a16="http://schemas.microsoft.com/office/drawing/2014/main" id="{612AD882-EFFF-4B2A-AE3B-FE7E3F2E0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7700625"/>
          <a:ext cx="228600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157</xdr:row>
      <xdr:rowOff>47625</xdr:rowOff>
    </xdr:from>
    <xdr:to>
      <xdr:col>65</xdr:col>
      <xdr:colOff>238125</xdr:colOff>
      <xdr:row>158</xdr:row>
      <xdr:rowOff>95249</xdr:rowOff>
    </xdr:to>
    <xdr:pic>
      <xdr:nvPicPr>
        <xdr:cNvPr id="245" name="Picture 1421" descr="red_13">
          <a:extLst>
            <a:ext uri="{FF2B5EF4-FFF2-40B4-BE49-F238E27FC236}">
              <a16:creationId xmlns:a16="http://schemas.microsoft.com/office/drawing/2014/main" id="{D3133805-CAB0-406E-BF5F-0F7F3EDF3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65842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159</xdr:row>
      <xdr:rowOff>47625</xdr:rowOff>
    </xdr:from>
    <xdr:to>
      <xdr:col>65</xdr:col>
      <xdr:colOff>238125</xdr:colOff>
      <xdr:row>160</xdr:row>
      <xdr:rowOff>95250</xdr:rowOff>
    </xdr:to>
    <xdr:pic>
      <xdr:nvPicPr>
        <xdr:cNvPr id="246" name="Picture 1422" descr="red_14">
          <a:extLst>
            <a:ext uri="{FF2B5EF4-FFF2-40B4-BE49-F238E27FC236}">
              <a16:creationId xmlns:a16="http://schemas.microsoft.com/office/drawing/2014/main" id="{F8CB565F-06C3-4979-AB66-9A6DCA51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69398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161</xdr:row>
      <xdr:rowOff>47625</xdr:rowOff>
    </xdr:from>
    <xdr:to>
      <xdr:col>65</xdr:col>
      <xdr:colOff>238125</xdr:colOff>
      <xdr:row>162</xdr:row>
      <xdr:rowOff>95249</xdr:rowOff>
    </xdr:to>
    <xdr:pic>
      <xdr:nvPicPr>
        <xdr:cNvPr id="247" name="Picture 1423" descr="red_15">
          <a:extLst>
            <a:ext uri="{FF2B5EF4-FFF2-40B4-BE49-F238E27FC236}">
              <a16:creationId xmlns:a16="http://schemas.microsoft.com/office/drawing/2014/main" id="{4E868B06-D0E4-4E19-B76D-1228F58F4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72954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163</xdr:row>
      <xdr:rowOff>47625</xdr:rowOff>
    </xdr:from>
    <xdr:to>
      <xdr:col>65</xdr:col>
      <xdr:colOff>238125</xdr:colOff>
      <xdr:row>164</xdr:row>
      <xdr:rowOff>95250</xdr:rowOff>
    </xdr:to>
    <xdr:pic>
      <xdr:nvPicPr>
        <xdr:cNvPr id="248" name="Picture 1424" descr="red_16">
          <a:extLst>
            <a:ext uri="{FF2B5EF4-FFF2-40B4-BE49-F238E27FC236}">
              <a16:creationId xmlns:a16="http://schemas.microsoft.com/office/drawing/2014/main" id="{AAB0A0FD-F3C2-4476-BA5F-25E1229F7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76510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165</xdr:row>
      <xdr:rowOff>47625</xdr:rowOff>
    </xdr:from>
    <xdr:to>
      <xdr:col>65</xdr:col>
      <xdr:colOff>238125</xdr:colOff>
      <xdr:row>166</xdr:row>
      <xdr:rowOff>95249</xdr:rowOff>
    </xdr:to>
    <xdr:pic>
      <xdr:nvPicPr>
        <xdr:cNvPr id="249" name="Picture 1425" descr="red_17">
          <a:extLst>
            <a:ext uri="{FF2B5EF4-FFF2-40B4-BE49-F238E27FC236}">
              <a16:creationId xmlns:a16="http://schemas.microsoft.com/office/drawing/2014/main" id="{A15CAEC4-65FC-447E-9029-56D7A8A0D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80066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167</xdr:row>
      <xdr:rowOff>47625</xdr:rowOff>
    </xdr:from>
    <xdr:to>
      <xdr:col>65</xdr:col>
      <xdr:colOff>238125</xdr:colOff>
      <xdr:row>169</xdr:row>
      <xdr:rowOff>50006</xdr:rowOff>
    </xdr:to>
    <xdr:pic>
      <xdr:nvPicPr>
        <xdr:cNvPr id="250" name="Picture 1426" descr="red_18">
          <a:extLst>
            <a:ext uri="{FF2B5EF4-FFF2-40B4-BE49-F238E27FC236}">
              <a16:creationId xmlns:a16="http://schemas.microsoft.com/office/drawing/2014/main" id="{44B55089-A4BE-474F-8CF1-97E47959C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8362275"/>
          <a:ext cx="228600" cy="230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218</xdr:row>
      <xdr:rowOff>47625</xdr:rowOff>
    </xdr:from>
    <xdr:to>
      <xdr:col>65</xdr:col>
      <xdr:colOff>190500</xdr:colOff>
      <xdr:row>219</xdr:row>
      <xdr:rowOff>95251</xdr:rowOff>
    </xdr:to>
    <xdr:pic>
      <xdr:nvPicPr>
        <xdr:cNvPr id="251" name="Picture 1427" descr="red_19">
          <a:extLst>
            <a:ext uri="{FF2B5EF4-FFF2-40B4-BE49-F238E27FC236}">
              <a16:creationId xmlns:a16="http://schemas.microsoft.com/office/drawing/2014/main" id="{D29E4ECE-CD50-47C3-B536-FF916613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68903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220</xdr:row>
      <xdr:rowOff>47625</xdr:rowOff>
    </xdr:from>
    <xdr:to>
      <xdr:col>65</xdr:col>
      <xdr:colOff>190500</xdr:colOff>
      <xdr:row>221</xdr:row>
      <xdr:rowOff>95250</xdr:rowOff>
    </xdr:to>
    <xdr:pic>
      <xdr:nvPicPr>
        <xdr:cNvPr id="252" name="Picture 1428" descr="red_20">
          <a:extLst>
            <a:ext uri="{FF2B5EF4-FFF2-40B4-BE49-F238E27FC236}">
              <a16:creationId xmlns:a16="http://schemas.microsoft.com/office/drawing/2014/main" id="{20B24A31-B7B2-4A19-AE58-4AAB71FAB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2459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222</xdr:row>
      <xdr:rowOff>47625</xdr:rowOff>
    </xdr:from>
    <xdr:to>
      <xdr:col>65</xdr:col>
      <xdr:colOff>190500</xdr:colOff>
      <xdr:row>223</xdr:row>
      <xdr:rowOff>95251</xdr:rowOff>
    </xdr:to>
    <xdr:pic>
      <xdr:nvPicPr>
        <xdr:cNvPr id="253" name="Picture 1429" descr="red_21">
          <a:extLst>
            <a:ext uri="{FF2B5EF4-FFF2-40B4-BE49-F238E27FC236}">
              <a16:creationId xmlns:a16="http://schemas.microsoft.com/office/drawing/2014/main" id="{42972D43-CE97-4E83-BCA6-16B40DE09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6015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224</xdr:row>
      <xdr:rowOff>47625</xdr:rowOff>
    </xdr:from>
    <xdr:to>
      <xdr:col>65</xdr:col>
      <xdr:colOff>190500</xdr:colOff>
      <xdr:row>225</xdr:row>
      <xdr:rowOff>95250</xdr:rowOff>
    </xdr:to>
    <xdr:pic>
      <xdr:nvPicPr>
        <xdr:cNvPr id="254" name="Picture 1430" descr="red_22">
          <a:extLst>
            <a:ext uri="{FF2B5EF4-FFF2-40B4-BE49-F238E27FC236}">
              <a16:creationId xmlns:a16="http://schemas.microsoft.com/office/drawing/2014/main" id="{6E35E67E-F27C-4465-8EA1-27C6F3B70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9571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226</xdr:row>
      <xdr:rowOff>47625</xdr:rowOff>
    </xdr:from>
    <xdr:to>
      <xdr:col>65</xdr:col>
      <xdr:colOff>190500</xdr:colOff>
      <xdr:row>227</xdr:row>
      <xdr:rowOff>95251</xdr:rowOff>
    </xdr:to>
    <xdr:pic>
      <xdr:nvPicPr>
        <xdr:cNvPr id="255" name="Picture 1431" descr="red_23">
          <a:extLst>
            <a:ext uri="{FF2B5EF4-FFF2-40B4-BE49-F238E27FC236}">
              <a16:creationId xmlns:a16="http://schemas.microsoft.com/office/drawing/2014/main" id="{88668F93-7E57-4E08-8EA1-688E90859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83127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228</xdr:row>
      <xdr:rowOff>47625</xdr:rowOff>
    </xdr:from>
    <xdr:to>
      <xdr:col>65</xdr:col>
      <xdr:colOff>190500</xdr:colOff>
      <xdr:row>230</xdr:row>
      <xdr:rowOff>40481</xdr:rowOff>
    </xdr:to>
    <xdr:pic>
      <xdr:nvPicPr>
        <xdr:cNvPr id="256" name="Picture 1432" descr="red_24">
          <a:extLst>
            <a:ext uri="{FF2B5EF4-FFF2-40B4-BE49-F238E27FC236}">
              <a16:creationId xmlns:a16="http://schemas.microsoft.com/office/drawing/2014/main" id="{DA637EF6-6114-41D9-BD45-0087F5D85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8668325"/>
          <a:ext cx="228600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281</xdr:row>
      <xdr:rowOff>47625</xdr:rowOff>
    </xdr:from>
    <xdr:to>
      <xdr:col>65</xdr:col>
      <xdr:colOff>152400</xdr:colOff>
      <xdr:row>282</xdr:row>
      <xdr:rowOff>95249</xdr:rowOff>
    </xdr:to>
    <xdr:pic>
      <xdr:nvPicPr>
        <xdr:cNvPr id="257" name="Picture 1433" descr="red_25">
          <a:extLst>
            <a:ext uri="{FF2B5EF4-FFF2-40B4-BE49-F238E27FC236}">
              <a16:creationId xmlns:a16="http://schemas.microsoft.com/office/drawing/2014/main" id="{797F5845-5867-4B99-85DF-FC9DD863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75519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283</xdr:row>
      <xdr:rowOff>47625</xdr:rowOff>
    </xdr:from>
    <xdr:to>
      <xdr:col>65</xdr:col>
      <xdr:colOff>152400</xdr:colOff>
      <xdr:row>284</xdr:row>
      <xdr:rowOff>95250</xdr:rowOff>
    </xdr:to>
    <xdr:pic>
      <xdr:nvPicPr>
        <xdr:cNvPr id="258" name="Picture 1434" descr="red_26">
          <a:extLst>
            <a:ext uri="{FF2B5EF4-FFF2-40B4-BE49-F238E27FC236}">
              <a16:creationId xmlns:a16="http://schemas.microsoft.com/office/drawing/2014/main" id="{7323C4EF-7FAE-4145-BA8C-B7FE7F6F9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79075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285</xdr:row>
      <xdr:rowOff>47625</xdr:rowOff>
    </xdr:from>
    <xdr:to>
      <xdr:col>65</xdr:col>
      <xdr:colOff>152400</xdr:colOff>
      <xdr:row>286</xdr:row>
      <xdr:rowOff>95249</xdr:rowOff>
    </xdr:to>
    <xdr:pic>
      <xdr:nvPicPr>
        <xdr:cNvPr id="259" name="Picture 1435" descr="red_27">
          <a:extLst>
            <a:ext uri="{FF2B5EF4-FFF2-40B4-BE49-F238E27FC236}">
              <a16:creationId xmlns:a16="http://schemas.microsoft.com/office/drawing/2014/main" id="{7FA2B635-7C23-42DD-9C53-AB738D7B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2631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287</xdr:row>
      <xdr:rowOff>47625</xdr:rowOff>
    </xdr:from>
    <xdr:to>
      <xdr:col>65</xdr:col>
      <xdr:colOff>152400</xdr:colOff>
      <xdr:row>288</xdr:row>
      <xdr:rowOff>95250</xdr:rowOff>
    </xdr:to>
    <xdr:pic>
      <xdr:nvPicPr>
        <xdr:cNvPr id="260" name="Picture 1436" descr="red_28">
          <a:extLst>
            <a:ext uri="{FF2B5EF4-FFF2-40B4-BE49-F238E27FC236}">
              <a16:creationId xmlns:a16="http://schemas.microsoft.com/office/drawing/2014/main" id="{20BE5F93-48C6-41B5-99F4-55E26E8A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6187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289</xdr:row>
      <xdr:rowOff>47625</xdr:rowOff>
    </xdr:from>
    <xdr:to>
      <xdr:col>65</xdr:col>
      <xdr:colOff>152400</xdr:colOff>
      <xdr:row>290</xdr:row>
      <xdr:rowOff>95249</xdr:rowOff>
    </xdr:to>
    <xdr:pic>
      <xdr:nvPicPr>
        <xdr:cNvPr id="261" name="Picture 1437" descr="red_29">
          <a:extLst>
            <a:ext uri="{FF2B5EF4-FFF2-40B4-BE49-F238E27FC236}">
              <a16:creationId xmlns:a16="http://schemas.microsoft.com/office/drawing/2014/main" id="{666C97E9-9A90-4E67-98DC-B91286DBB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9743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291</xdr:row>
      <xdr:rowOff>47625</xdr:rowOff>
    </xdr:from>
    <xdr:to>
      <xdr:col>65</xdr:col>
      <xdr:colOff>152400</xdr:colOff>
      <xdr:row>293</xdr:row>
      <xdr:rowOff>50006</xdr:rowOff>
    </xdr:to>
    <xdr:pic>
      <xdr:nvPicPr>
        <xdr:cNvPr id="262" name="Picture 1438" descr="red_30">
          <a:extLst>
            <a:ext uri="{FF2B5EF4-FFF2-40B4-BE49-F238E27FC236}">
              <a16:creationId xmlns:a16="http://schemas.microsoft.com/office/drawing/2014/main" id="{97B419AC-9F57-4AE7-9C9C-B705EA6F8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9329975"/>
          <a:ext cx="228600" cy="230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341</xdr:row>
      <xdr:rowOff>47625</xdr:rowOff>
    </xdr:from>
    <xdr:to>
      <xdr:col>65</xdr:col>
      <xdr:colOff>257175</xdr:colOff>
      <xdr:row>342</xdr:row>
      <xdr:rowOff>95249</xdr:rowOff>
    </xdr:to>
    <xdr:pic>
      <xdr:nvPicPr>
        <xdr:cNvPr id="263" name="Picture 1439" descr="red_31">
          <a:extLst>
            <a:ext uri="{FF2B5EF4-FFF2-40B4-BE49-F238E27FC236}">
              <a16:creationId xmlns:a16="http://schemas.microsoft.com/office/drawing/2014/main" id="{CEEFDF62-0F61-4E0D-BC46-B530158CB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76802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343</xdr:row>
      <xdr:rowOff>47625</xdr:rowOff>
    </xdr:from>
    <xdr:to>
      <xdr:col>65</xdr:col>
      <xdr:colOff>257175</xdr:colOff>
      <xdr:row>344</xdr:row>
      <xdr:rowOff>95250</xdr:rowOff>
    </xdr:to>
    <xdr:pic>
      <xdr:nvPicPr>
        <xdr:cNvPr id="264" name="Picture 1440" descr="red_32">
          <a:extLst>
            <a:ext uri="{FF2B5EF4-FFF2-40B4-BE49-F238E27FC236}">
              <a16:creationId xmlns:a16="http://schemas.microsoft.com/office/drawing/2014/main" id="{9076A352-2FF7-4C1D-8D57-1D7205F5E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0358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345</xdr:row>
      <xdr:rowOff>47625</xdr:rowOff>
    </xdr:from>
    <xdr:to>
      <xdr:col>65</xdr:col>
      <xdr:colOff>257175</xdr:colOff>
      <xdr:row>346</xdr:row>
      <xdr:rowOff>95249</xdr:rowOff>
    </xdr:to>
    <xdr:pic>
      <xdr:nvPicPr>
        <xdr:cNvPr id="265" name="Picture 1441" descr="red_33">
          <a:extLst>
            <a:ext uri="{FF2B5EF4-FFF2-40B4-BE49-F238E27FC236}">
              <a16:creationId xmlns:a16="http://schemas.microsoft.com/office/drawing/2014/main" id="{96FB8070-E03A-49E1-BDC4-8AE4E25EC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3914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347</xdr:row>
      <xdr:rowOff>47625</xdr:rowOff>
    </xdr:from>
    <xdr:to>
      <xdr:col>65</xdr:col>
      <xdr:colOff>257175</xdr:colOff>
      <xdr:row>348</xdr:row>
      <xdr:rowOff>95250</xdr:rowOff>
    </xdr:to>
    <xdr:pic>
      <xdr:nvPicPr>
        <xdr:cNvPr id="266" name="Picture 1442" descr="red_34">
          <a:extLst>
            <a:ext uri="{FF2B5EF4-FFF2-40B4-BE49-F238E27FC236}">
              <a16:creationId xmlns:a16="http://schemas.microsoft.com/office/drawing/2014/main" id="{27EB82BA-F9EE-4B4C-BF74-477F9869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7470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349</xdr:row>
      <xdr:rowOff>47625</xdr:rowOff>
    </xdr:from>
    <xdr:to>
      <xdr:col>65</xdr:col>
      <xdr:colOff>257175</xdr:colOff>
      <xdr:row>350</xdr:row>
      <xdr:rowOff>95249</xdr:rowOff>
    </xdr:to>
    <xdr:pic>
      <xdr:nvPicPr>
        <xdr:cNvPr id="267" name="Picture 1443" descr="red_35">
          <a:extLst>
            <a:ext uri="{FF2B5EF4-FFF2-40B4-BE49-F238E27FC236}">
              <a16:creationId xmlns:a16="http://schemas.microsoft.com/office/drawing/2014/main" id="{5378F509-C7EA-4B64-942B-50D292546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91026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351</xdr:row>
      <xdr:rowOff>47625</xdr:rowOff>
    </xdr:from>
    <xdr:to>
      <xdr:col>65</xdr:col>
      <xdr:colOff>257175</xdr:colOff>
      <xdr:row>352</xdr:row>
      <xdr:rowOff>95250</xdr:rowOff>
    </xdr:to>
    <xdr:pic>
      <xdr:nvPicPr>
        <xdr:cNvPr id="268" name="Picture 1444" descr="red_36">
          <a:extLst>
            <a:ext uri="{FF2B5EF4-FFF2-40B4-BE49-F238E27FC236}">
              <a16:creationId xmlns:a16="http://schemas.microsoft.com/office/drawing/2014/main" id="{CF0B37D2-A4DA-46EA-843A-6F205C839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94582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119063</xdr:colOff>
      <xdr:row>36</xdr:row>
      <xdr:rowOff>95250</xdr:rowOff>
    </xdr:from>
    <xdr:to>
      <xdr:col>17</xdr:col>
      <xdr:colOff>130970</xdr:colOff>
      <xdr:row>47</xdr:row>
      <xdr:rowOff>71438</xdr:rowOff>
    </xdr:to>
    <xdr:sp macro="" textlink="">
      <xdr:nvSpPr>
        <xdr:cNvPr id="269" name="フリーフォーム: 図形 268">
          <a:extLst>
            <a:ext uri="{FF2B5EF4-FFF2-40B4-BE49-F238E27FC236}">
              <a16:creationId xmlns:a16="http://schemas.microsoft.com/office/drawing/2014/main" id="{240B7E8F-14E2-485B-891B-3C2890E4C686}"/>
            </a:ext>
          </a:extLst>
        </xdr:cNvPr>
        <xdr:cNvSpPr/>
      </xdr:nvSpPr>
      <xdr:spPr bwMode="auto">
        <a:xfrm>
          <a:off x="2316163" y="6197600"/>
          <a:ext cx="1612107" cy="1804988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67</xdr:col>
      <xdr:colOff>59530</xdr:colOff>
      <xdr:row>39</xdr:row>
      <xdr:rowOff>11906</xdr:rowOff>
    </xdr:from>
    <xdr:to>
      <xdr:col>84</xdr:col>
      <xdr:colOff>156324</xdr:colOff>
      <xdr:row>57</xdr:row>
      <xdr:rowOff>145018</xdr:rowOff>
    </xdr:to>
    <xdr:grpSp>
      <xdr:nvGrpSpPr>
        <xdr:cNvPr id="270" name="グループ化 269">
          <a:extLst>
            <a:ext uri="{FF2B5EF4-FFF2-40B4-BE49-F238E27FC236}">
              <a16:creationId xmlns:a16="http://schemas.microsoft.com/office/drawing/2014/main" id="{44BBB644-13D7-40FF-A482-414D722693B6}"/>
            </a:ext>
          </a:extLst>
        </xdr:cNvPr>
        <xdr:cNvGrpSpPr/>
      </xdr:nvGrpSpPr>
      <xdr:grpSpPr>
        <a:xfrm>
          <a:off x="14775655" y="6536531"/>
          <a:ext cx="4684669" cy="3133487"/>
          <a:chOff x="10420350" y="657225"/>
          <a:chExt cx="4549731" cy="3216831"/>
        </a:xfrm>
      </xdr:grpSpPr>
      <xdr:pic>
        <xdr:nvPicPr>
          <xdr:cNvPr id="271" name="図 270">
            <a:extLst>
              <a:ext uri="{FF2B5EF4-FFF2-40B4-BE49-F238E27FC236}">
                <a16:creationId xmlns:a16="http://schemas.microsoft.com/office/drawing/2014/main" id="{8AAEEBDF-3513-4049-B42B-B4A1944430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10420350" y="657225"/>
            <a:ext cx="4549731" cy="3216831"/>
          </a:xfrm>
          <a:prstGeom prst="rect">
            <a:avLst/>
          </a:prstGeom>
          <a:ln w="2857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</a:ln>
        </xdr:spPr>
      </xdr:pic>
      <xdr:sp macro="" textlink="">
        <xdr:nvSpPr>
          <xdr:cNvPr id="272" name="テキスト ボックス 271">
            <a:extLst>
              <a:ext uri="{FF2B5EF4-FFF2-40B4-BE49-F238E27FC236}">
                <a16:creationId xmlns:a16="http://schemas.microsoft.com/office/drawing/2014/main" id="{938CF1FE-1ADB-41D6-B713-D9FDE4D24538}"/>
              </a:ext>
            </a:extLst>
          </xdr:cNvPr>
          <xdr:cNvSpPr txBox="1"/>
        </xdr:nvSpPr>
        <xdr:spPr>
          <a:xfrm>
            <a:off x="10582275" y="2438400"/>
            <a:ext cx="2294474" cy="825867"/>
          </a:xfrm>
          <a:prstGeom prst="rect">
            <a:avLst/>
          </a:prstGeom>
          <a:solidFill>
            <a:schemeClr val="bg1"/>
          </a:solidFill>
          <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新しい</a:t>
            </a:r>
            <a:r>
              <a:rPr kumimoji="1" lang="en-US" altLang="ja-JP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Office</a:t>
            </a:r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では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「頂点の追加」をしてから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図形を変形させると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片方が「曲線」になることを防げます</a:t>
            </a:r>
          </a:p>
        </xdr:txBody>
      </xdr:sp>
    </xdr:grpSp>
    <xdr:clientData/>
  </xdr:twoCellAnchor>
  <xdr:twoCellAnchor>
    <xdr:from>
      <xdr:col>22</xdr:col>
      <xdr:colOff>59530</xdr:colOff>
      <xdr:row>41</xdr:row>
      <xdr:rowOff>50006</xdr:rowOff>
    </xdr:from>
    <xdr:to>
      <xdr:col>24</xdr:col>
      <xdr:colOff>73819</xdr:colOff>
      <xdr:row>42</xdr:row>
      <xdr:rowOff>11906</xdr:rowOff>
    </xdr:to>
    <xdr:sp macro="" textlink="">
      <xdr:nvSpPr>
        <xdr:cNvPr id="273" name="Line 811">
          <a:extLst>
            <a:ext uri="{FF2B5EF4-FFF2-40B4-BE49-F238E27FC236}">
              <a16:creationId xmlns:a16="http://schemas.microsoft.com/office/drawing/2014/main" id="{6DB602F7-E809-4D8F-8EAF-BD5C638C777A}"/>
            </a:ext>
          </a:extLst>
        </xdr:cNvPr>
        <xdr:cNvSpPr>
          <a:spLocks noChangeShapeType="1"/>
        </xdr:cNvSpPr>
      </xdr:nvSpPr>
      <xdr:spPr bwMode="auto">
        <a:xfrm flipH="1">
          <a:off x="4999830" y="7041356"/>
          <a:ext cx="471489" cy="139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202407</xdr:colOff>
      <xdr:row>40</xdr:row>
      <xdr:rowOff>71437</xdr:rowOff>
    </xdr:from>
    <xdr:to>
      <xdr:col>19</xdr:col>
      <xdr:colOff>192883</xdr:colOff>
      <xdr:row>41</xdr:row>
      <xdr:rowOff>2381</xdr:rowOff>
    </xdr:to>
    <xdr:sp macro="" textlink="">
      <xdr:nvSpPr>
        <xdr:cNvPr id="274" name="Line 812">
          <a:extLst>
            <a:ext uri="{FF2B5EF4-FFF2-40B4-BE49-F238E27FC236}">
              <a16:creationId xmlns:a16="http://schemas.microsoft.com/office/drawing/2014/main" id="{98671DA9-4C5E-4433-9772-E1EEF4B73050}"/>
            </a:ext>
          </a:extLst>
        </xdr:cNvPr>
        <xdr:cNvSpPr>
          <a:spLocks noChangeShapeType="1"/>
        </xdr:cNvSpPr>
      </xdr:nvSpPr>
      <xdr:spPr bwMode="auto">
        <a:xfrm flipH="1" flipV="1">
          <a:off x="3999707" y="6884987"/>
          <a:ext cx="447676" cy="10874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178594</xdr:colOff>
      <xdr:row>41</xdr:row>
      <xdr:rowOff>154780</xdr:rowOff>
    </xdr:from>
    <xdr:to>
      <xdr:col>22</xdr:col>
      <xdr:colOff>202406</xdr:colOff>
      <xdr:row>42</xdr:row>
      <xdr:rowOff>130967</xdr:rowOff>
    </xdr:to>
    <xdr:sp macro="" textlink="">
      <xdr:nvSpPr>
        <xdr:cNvPr id="275" name="Line 814">
          <a:extLst>
            <a:ext uri="{FF2B5EF4-FFF2-40B4-BE49-F238E27FC236}">
              <a16:creationId xmlns:a16="http://schemas.microsoft.com/office/drawing/2014/main" id="{6BD0F1AC-8E6B-4E62-A6C2-9474D28D9514}"/>
            </a:ext>
          </a:extLst>
        </xdr:cNvPr>
        <xdr:cNvSpPr>
          <a:spLocks noChangeShapeType="1"/>
        </xdr:cNvSpPr>
      </xdr:nvSpPr>
      <xdr:spPr bwMode="auto">
        <a:xfrm flipH="1" flipV="1">
          <a:off x="4661694" y="7146130"/>
          <a:ext cx="481012" cy="15398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190500</xdr:colOff>
      <xdr:row>38</xdr:row>
      <xdr:rowOff>83343</xdr:rowOff>
    </xdr:from>
    <xdr:to>
      <xdr:col>19</xdr:col>
      <xdr:colOff>130968</xdr:colOff>
      <xdr:row>39</xdr:row>
      <xdr:rowOff>178593</xdr:rowOff>
    </xdr:to>
    <xdr:sp macro="" textlink="">
      <xdr:nvSpPr>
        <xdr:cNvPr id="276" name="Line 815">
          <a:extLst>
            <a:ext uri="{FF2B5EF4-FFF2-40B4-BE49-F238E27FC236}">
              <a16:creationId xmlns:a16="http://schemas.microsoft.com/office/drawing/2014/main" id="{0276E37A-429A-4BD2-A091-39BC83D88CF4}"/>
            </a:ext>
          </a:extLst>
        </xdr:cNvPr>
        <xdr:cNvSpPr>
          <a:spLocks noChangeShapeType="1"/>
        </xdr:cNvSpPr>
      </xdr:nvSpPr>
      <xdr:spPr bwMode="auto">
        <a:xfrm flipH="1">
          <a:off x="3987800" y="6541293"/>
          <a:ext cx="397668" cy="273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11906</xdr:colOff>
      <xdr:row>44</xdr:row>
      <xdr:rowOff>130968</xdr:rowOff>
    </xdr:from>
    <xdr:to>
      <xdr:col>22</xdr:col>
      <xdr:colOff>95249</xdr:colOff>
      <xdr:row>44</xdr:row>
      <xdr:rowOff>154781</xdr:rowOff>
    </xdr:to>
    <xdr:sp macro="" textlink="">
      <xdr:nvSpPr>
        <xdr:cNvPr id="277" name="Line 816">
          <a:extLst>
            <a:ext uri="{FF2B5EF4-FFF2-40B4-BE49-F238E27FC236}">
              <a16:creationId xmlns:a16="http://schemas.microsoft.com/office/drawing/2014/main" id="{2D8CE5B3-D457-4AB3-992F-C7990A029AC3}"/>
            </a:ext>
          </a:extLst>
        </xdr:cNvPr>
        <xdr:cNvSpPr>
          <a:spLocks noChangeShapeType="1"/>
        </xdr:cNvSpPr>
      </xdr:nvSpPr>
      <xdr:spPr bwMode="auto">
        <a:xfrm flipH="1" flipV="1">
          <a:off x="4495006" y="7535068"/>
          <a:ext cx="540543" cy="23813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47625</xdr:colOff>
      <xdr:row>34</xdr:row>
      <xdr:rowOff>121442</xdr:rowOff>
    </xdr:from>
    <xdr:to>
      <xdr:col>26</xdr:col>
      <xdr:colOff>50007</xdr:colOff>
      <xdr:row>36</xdr:row>
      <xdr:rowOff>142874</xdr:rowOff>
    </xdr:to>
    <xdr:sp macro="" textlink="">
      <xdr:nvSpPr>
        <xdr:cNvPr id="278" name="Line 818">
          <a:extLst>
            <a:ext uri="{FF2B5EF4-FFF2-40B4-BE49-F238E27FC236}">
              <a16:creationId xmlns:a16="http://schemas.microsoft.com/office/drawing/2014/main" id="{584F0D05-3F71-4630-B96C-CD7EE1DCF3B7}"/>
            </a:ext>
          </a:extLst>
        </xdr:cNvPr>
        <xdr:cNvSpPr>
          <a:spLocks noChangeShapeType="1"/>
        </xdr:cNvSpPr>
      </xdr:nvSpPr>
      <xdr:spPr bwMode="auto">
        <a:xfrm flipH="1">
          <a:off x="5673725" y="5868192"/>
          <a:ext cx="230982" cy="377032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25</xdr:col>
      <xdr:colOff>161926</xdr:colOff>
      <xdr:row>33</xdr:row>
      <xdr:rowOff>138112</xdr:rowOff>
    </xdr:from>
    <xdr:to>
      <xdr:col>26</xdr:col>
      <xdr:colOff>161925</xdr:colOff>
      <xdr:row>35</xdr:row>
      <xdr:rowOff>7144</xdr:rowOff>
    </xdr:to>
    <xdr:pic>
      <xdr:nvPicPr>
        <xdr:cNvPr id="279" name="Picture 849" descr="red_01">
          <a:extLst>
            <a:ext uri="{FF2B5EF4-FFF2-40B4-BE49-F238E27FC236}">
              <a16:creationId xmlns:a16="http://schemas.microsoft.com/office/drawing/2014/main" id="{2561FA84-C979-4CD8-BD67-89C0E4E5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8026" y="5707062"/>
          <a:ext cx="228599" cy="22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209551</xdr:colOff>
      <xdr:row>40</xdr:row>
      <xdr:rowOff>102394</xdr:rowOff>
    </xdr:from>
    <xdr:to>
      <xdr:col>24</xdr:col>
      <xdr:colOff>209551</xdr:colOff>
      <xdr:row>41</xdr:row>
      <xdr:rowOff>150018</xdr:rowOff>
    </xdr:to>
    <xdr:pic>
      <xdr:nvPicPr>
        <xdr:cNvPr id="280" name="Picture 850" descr="red_02">
          <a:extLst>
            <a:ext uri="{FF2B5EF4-FFF2-40B4-BE49-F238E27FC236}">
              <a16:creationId xmlns:a16="http://schemas.microsoft.com/office/drawing/2014/main" id="{F5E70C63-6986-4F14-80D0-068DF99E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8451" y="6915944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66674</xdr:colOff>
      <xdr:row>42</xdr:row>
      <xdr:rowOff>42862</xdr:rowOff>
    </xdr:from>
    <xdr:to>
      <xdr:col>23</xdr:col>
      <xdr:colOff>66673</xdr:colOff>
      <xdr:row>44</xdr:row>
      <xdr:rowOff>30956</xdr:rowOff>
    </xdr:to>
    <xdr:pic>
      <xdr:nvPicPr>
        <xdr:cNvPr id="281" name="Picture 851" descr="red_03">
          <a:extLst>
            <a:ext uri="{FF2B5EF4-FFF2-40B4-BE49-F238E27FC236}">
              <a16:creationId xmlns:a16="http://schemas.microsoft.com/office/drawing/2014/main" id="{EE448F07-227B-46BD-8301-551903E1E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6974" y="7212012"/>
          <a:ext cx="228599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126207</xdr:colOff>
      <xdr:row>40</xdr:row>
      <xdr:rowOff>78581</xdr:rowOff>
    </xdr:from>
    <xdr:to>
      <xdr:col>20</xdr:col>
      <xdr:colOff>126207</xdr:colOff>
      <xdr:row>41</xdr:row>
      <xdr:rowOff>126205</xdr:rowOff>
    </xdr:to>
    <xdr:pic>
      <xdr:nvPicPr>
        <xdr:cNvPr id="282" name="Picture 852" descr="red_04">
          <a:extLst>
            <a:ext uri="{FF2B5EF4-FFF2-40B4-BE49-F238E27FC236}">
              <a16:creationId xmlns:a16="http://schemas.microsoft.com/office/drawing/2014/main" id="{08378AD0-80F4-4F0C-8B46-5E9ABF55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07" y="6892131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54769</xdr:colOff>
      <xdr:row>37</xdr:row>
      <xdr:rowOff>114300</xdr:rowOff>
    </xdr:from>
    <xdr:to>
      <xdr:col>20</xdr:col>
      <xdr:colOff>54769</xdr:colOff>
      <xdr:row>38</xdr:row>
      <xdr:rowOff>164306</xdr:rowOff>
    </xdr:to>
    <xdr:pic>
      <xdr:nvPicPr>
        <xdr:cNvPr id="283" name="Picture 853" descr="red_05">
          <a:extLst>
            <a:ext uri="{FF2B5EF4-FFF2-40B4-BE49-F238E27FC236}">
              <a16:creationId xmlns:a16="http://schemas.microsoft.com/office/drawing/2014/main" id="{A9EBCAF1-DA62-4FA3-9F6F-768DA83C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9269" y="6394450"/>
          <a:ext cx="228600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126207</xdr:colOff>
      <xdr:row>44</xdr:row>
      <xdr:rowOff>35718</xdr:rowOff>
    </xdr:from>
    <xdr:to>
      <xdr:col>22</xdr:col>
      <xdr:colOff>126206</xdr:colOff>
      <xdr:row>45</xdr:row>
      <xdr:rowOff>90487</xdr:rowOff>
    </xdr:to>
    <xdr:pic>
      <xdr:nvPicPr>
        <xdr:cNvPr id="284" name="Picture 854" descr="red_06">
          <a:extLst>
            <a:ext uri="{FF2B5EF4-FFF2-40B4-BE49-F238E27FC236}">
              <a16:creationId xmlns:a16="http://schemas.microsoft.com/office/drawing/2014/main" id="{AAFA2F61-C4EE-4EDB-95DA-31C854C56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7907" y="7439818"/>
          <a:ext cx="228599" cy="22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83343</xdr:colOff>
      <xdr:row>115</xdr:row>
      <xdr:rowOff>59531</xdr:rowOff>
    </xdr:from>
    <xdr:to>
      <xdr:col>14</xdr:col>
      <xdr:colOff>92870</xdr:colOff>
      <xdr:row>117</xdr:row>
      <xdr:rowOff>57151</xdr:rowOff>
    </xdr:to>
    <xdr:sp macro="" textlink="">
      <xdr:nvSpPr>
        <xdr:cNvPr id="285" name="Line 1133">
          <a:extLst>
            <a:ext uri="{FF2B5EF4-FFF2-40B4-BE49-F238E27FC236}">
              <a16:creationId xmlns:a16="http://schemas.microsoft.com/office/drawing/2014/main" id="{704F6BCF-216D-41F6-929C-A447758A713B}"/>
            </a:ext>
          </a:extLst>
        </xdr:cNvPr>
        <xdr:cNvSpPr>
          <a:spLocks noChangeShapeType="1"/>
        </xdr:cNvSpPr>
      </xdr:nvSpPr>
      <xdr:spPr bwMode="auto">
        <a:xfrm flipH="1" flipV="1">
          <a:off x="3194843" y="19541331"/>
          <a:ext cx="9527" cy="353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223838</xdr:colOff>
      <xdr:row>117</xdr:row>
      <xdr:rowOff>23813</xdr:rowOff>
    </xdr:from>
    <xdr:to>
      <xdr:col>17</xdr:col>
      <xdr:colOff>23812</xdr:colOff>
      <xdr:row>119</xdr:row>
      <xdr:rowOff>80963</xdr:rowOff>
    </xdr:to>
    <xdr:sp macro="" textlink="">
      <xdr:nvSpPr>
        <xdr:cNvPr id="286" name="Line 1134">
          <a:extLst>
            <a:ext uri="{FF2B5EF4-FFF2-40B4-BE49-F238E27FC236}">
              <a16:creationId xmlns:a16="http://schemas.microsoft.com/office/drawing/2014/main" id="{E2814C18-070B-4513-973C-84CB56706E73}"/>
            </a:ext>
          </a:extLst>
        </xdr:cNvPr>
        <xdr:cNvSpPr>
          <a:spLocks noChangeShapeType="1"/>
        </xdr:cNvSpPr>
      </xdr:nvSpPr>
      <xdr:spPr bwMode="auto">
        <a:xfrm flipV="1">
          <a:off x="3563938" y="19861213"/>
          <a:ext cx="257174" cy="4127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2382</xdr:colOff>
      <xdr:row>117</xdr:row>
      <xdr:rowOff>61913</xdr:rowOff>
    </xdr:from>
    <xdr:to>
      <xdr:col>15</xdr:col>
      <xdr:colOff>2381</xdr:colOff>
      <xdr:row>118</xdr:row>
      <xdr:rowOff>109538</xdr:rowOff>
    </xdr:to>
    <xdr:pic>
      <xdr:nvPicPr>
        <xdr:cNvPr id="287" name="Picture 1139" descr="red_07">
          <a:extLst>
            <a:ext uri="{FF2B5EF4-FFF2-40B4-BE49-F238E27FC236}">
              <a16:creationId xmlns:a16="http://schemas.microsoft.com/office/drawing/2014/main" id="{C1CC82B3-C293-4B45-90C1-34620F5F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3882" y="19899313"/>
          <a:ext cx="228599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121445</xdr:colOff>
      <xdr:row>118</xdr:row>
      <xdr:rowOff>157162</xdr:rowOff>
    </xdr:from>
    <xdr:to>
      <xdr:col>16</xdr:col>
      <xdr:colOff>121445</xdr:colOff>
      <xdr:row>120</xdr:row>
      <xdr:rowOff>26193</xdr:rowOff>
    </xdr:to>
    <xdr:pic>
      <xdr:nvPicPr>
        <xdr:cNvPr id="288" name="Picture 1140" descr="red_08">
          <a:extLst>
            <a:ext uri="{FF2B5EF4-FFF2-40B4-BE49-F238E27FC236}">
              <a16:creationId xmlns:a16="http://schemas.microsoft.com/office/drawing/2014/main" id="{6070BFE9-57B5-4F3C-A9E9-48F37DAF2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1545" y="20172362"/>
          <a:ext cx="228600" cy="22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158</xdr:row>
      <xdr:rowOff>83343</xdr:rowOff>
    </xdr:from>
    <xdr:to>
      <xdr:col>3</xdr:col>
      <xdr:colOff>123824</xdr:colOff>
      <xdr:row>160</xdr:row>
      <xdr:rowOff>35719</xdr:rowOff>
    </xdr:to>
    <xdr:sp macro="" textlink="">
      <xdr:nvSpPr>
        <xdr:cNvPr id="289" name="Line 1145">
          <a:extLst>
            <a:ext uri="{FF2B5EF4-FFF2-40B4-BE49-F238E27FC236}">
              <a16:creationId xmlns:a16="http://schemas.microsoft.com/office/drawing/2014/main" id="{FB8B2707-3583-491F-A6D9-673EB4825C65}"/>
            </a:ext>
          </a:extLst>
        </xdr:cNvPr>
        <xdr:cNvSpPr>
          <a:spLocks noChangeShapeType="1"/>
        </xdr:cNvSpPr>
      </xdr:nvSpPr>
      <xdr:spPr bwMode="auto">
        <a:xfrm flipV="1">
          <a:off x="311150" y="267977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160</xdr:row>
      <xdr:rowOff>83344</xdr:rowOff>
    </xdr:from>
    <xdr:to>
      <xdr:col>3</xdr:col>
      <xdr:colOff>123824</xdr:colOff>
      <xdr:row>162</xdr:row>
      <xdr:rowOff>35718</xdr:rowOff>
    </xdr:to>
    <xdr:sp macro="" textlink="">
      <xdr:nvSpPr>
        <xdr:cNvPr id="290" name="Line 1146">
          <a:extLst>
            <a:ext uri="{FF2B5EF4-FFF2-40B4-BE49-F238E27FC236}">
              <a16:creationId xmlns:a16="http://schemas.microsoft.com/office/drawing/2014/main" id="{7F2BC81E-09E4-44CF-8E1D-9AF67087E9F2}"/>
            </a:ext>
          </a:extLst>
        </xdr:cNvPr>
        <xdr:cNvSpPr>
          <a:spLocks noChangeShapeType="1"/>
        </xdr:cNvSpPr>
      </xdr:nvSpPr>
      <xdr:spPr bwMode="auto">
        <a:xfrm flipV="1">
          <a:off x="311150" y="27153394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162</xdr:row>
      <xdr:rowOff>83343</xdr:rowOff>
    </xdr:from>
    <xdr:to>
      <xdr:col>3</xdr:col>
      <xdr:colOff>123824</xdr:colOff>
      <xdr:row>164</xdr:row>
      <xdr:rowOff>35719</xdr:rowOff>
    </xdr:to>
    <xdr:sp macro="" textlink="">
      <xdr:nvSpPr>
        <xdr:cNvPr id="291" name="Line 1147">
          <a:extLst>
            <a:ext uri="{FF2B5EF4-FFF2-40B4-BE49-F238E27FC236}">
              <a16:creationId xmlns:a16="http://schemas.microsoft.com/office/drawing/2014/main" id="{28A98B73-313D-4239-976A-953778E266B8}"/>
            </a:ext>
          </a:extLst>
        </xdr:cNvPr>
        <xdr:cNvSpPr>
          <a:spLocks noChangeShapeType="1"/>
        </xdr:cNvSpPr>
      </xdr:nvSpPr>
      <xdr:spPr bwMode="auto">
        <a:xfrm flipV="1">
          <a:off x="311150" y="275089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164</xdr:row>
      <xdr:rowOff>83344</xdr:rowOff>
    </xdr:from>
    <xdr:to>
      <xdr:col>3</xdr:col>
      <xdr:colOff>123824</xdr:colOff>
      <xdr:row>166</xdr:row>
      <xdr:rowOff>38100</xdr:rowOff>
    </xdr:to>
    <xdr:sp macro="" textlink="">
      <xdr:nvSpPr>
        <xdr:cNvPr id="292" name="Line 1148">
          <a:extLst>
            <a:ext uri="{FF2B5EF4-FFF2-40B4-BE49-F238E27FC236}">
              <a16:creationId xmlns:a16="http://schemas.microsoft.com/office/drawing/2014/main" id="{B8602B06-7ED8-4FB1-BB13-FC769ED4F99D}"/>
            </a:ext>
          </a:extLst>
        </xdr:cNvPr>
        <xdr:cNvSpPr>
          <a:spLocks noChangeShapeType="1"/>
        </xdr:cNvSpPr>
      </xdr:nvSpPr>
      <xdr:spPr bwMode="auto">
        <a:xfrm flipV="1">
          <a:off x="311150" y="2786459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166</xdr:row>
      <xdr:rowOff>85725</xdr:rowOff>
    </xdr:from>
    <xdr:to>
      <xdr:col>3</xdr:col>
      <xdr:colOff>123824</xdr:colOff>
      <xdr:row>168</xdr:row>
      <xdr:rowOff>157162</xdr:rowOff>
    </xdr:to>
    <xdr:sp macro="" textlink="">
      <xdr:nvSpPr>
        <xdr:cNvPr id="293" name="Line 1149">
          <a:extLst>
            <a:ext uri="{FF2B5EF4-FFF2-40B4-BE49-F238E27FC236}">
              <a16:creationId xmlns:a16="http://schemas.microsoft.com/office/drawing/2014/main" id="{FB15521D-A4F7-48FF-84FF-630D5FE13073}"/>
            </a:ext>
          </a:extLst>
        </xdr:cNvPr>
        <xdr:cNvSpPr>
          <a:spLocks noChangeShapeType="1"/>
        </xdr:cNvSpPr>
      </xdr:nvSpPr>
      <xdr:spPr bwMode="auto">
        <a:xfrm flipV="1">
          <a:off x="311150" y="28222575"/>
          <a:ext cx="409574" cy="30638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156</xdr:row>
      <xdr:rowOff>83344</xdr:rowOff>
    </xdr:from>
    <xdr:to>
      <xdr:col>3</xdr:col>
      <xdr:colOff>123824</xdr:colOff>
      <xdr:row>158</xdr:row>
      <xdr:rowOff>35718</xdr:rowOff>
    </xdr:to>
    <xdr:sp macro="" textlink="">
      <xdr:nvSpPr>
        <xdr:cNvPr id="294" name="Line 1150">
          <a:extLst>
            <a:ext uri="{FF2B5EF4-FFF2-40B4-BE49-F238E27FC236}">
              <a16:creationId xmlns:a16="http://schemas.microsoft.com/office/drawing/2014/main" id="{29BE27AD-9CF8-4480-B1C7-60CE0F01D7A0}"/>
            </a:ext>
          </a:extLst>
        </xdr:cNvPr>
        <xdr:cNvSpPr>
          <a:spLocks noChangeShapeType="1"/>
        </xdr:cNvSpPr>
      </xdr:nvSpPr>
      <xdr:spPr bwMode="auto">
        <a:xfrm flipV="1">
          <a:off x="311150" y="26442194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59531</xdr:colOff>
      <xdr:row>157</xdr:row>
      <xdr:rowOff>102394</xdr:rowOff>
    </xdr:from>
    <xdr:to>
      <xdr:col>2</xdr:col>
      <xdr:colOff>59531</xdr:colOff>
      <xdr:row>158</xdr:row>
      <xdr:rowOff>147637</xdr:rowOff>
    </xdr:to>
    <xdr:pic>
      <xdr:nvPicPr>
        <xdr:cNvPr id="295" name="Picture 1151" descr="red_13">
          <a:extLst>
            <a:ext uri="{FF2B5EF4-FFF2-40B4-BE49-F238E27FC236}">
              <a16:creationId xmlns:a16="http://schemas.microsoft.com/office/drawing/2014/main" id="{F4685FE7-3C84-4137-B466-184362C5E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6639044"/>
          <a:ext cx="228600" cy="22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159</xdr:row>
      <xdr:rowOff>102394</xdr:rowOff>
    </xdr:from>
    <xdr:to>
      <xdr:col>2</xdr:col>
      <xdr:colOff>59531</xdr:colOff>
      <xdr:row>160</xdr:row>
      <xdr:rowOff>147638</xdr:rowOff>
    </xdr:to>
    <xdr:pic>
      <xdr:nvPicPr>
        <xdr:cNvPr id="296" name="Picture 1152" descr="red_14">
          <a:extLst>
            <a:ext uri="{FF2B5EF4-FFF2-40B4-BE49-F238E27FC236}">
              <a16:creationId xmlns:a16="http://schemas.microsoft.com/office/drawing/2014/main" id="{C2E95321-B73B-4059-BACA-4E793F6D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6994644"/>
          <a:ext cx="228600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161</xdr:row>
      <xdr:rowOff>102394</xdr:rowOff>
    </xdr:from>
    <xdr:to>
      <xdr:col>2</xdr:col>
      <xdr:colOff>59531</xdr:colOff>
      <xdr:row>162</xdr:row>
      <xdr:rowOff>147637</xdr:rowOff>
    </xdr:to>
    <xdr:pic>
      <xdr:nvPicPr>
        <xdr:cNvPr id="297" name="Picture 1153" descr="red_15">
          <a:extLst>
            <a:ext uri="{FF2B5EF4-FFF2-40B4-BE49-F238E27FC236}">
              <a16:creationId xmlns:a16="http://schemas.microsoft.com/office/drawing/2014/main" id="{0BA4BF25-027C-438D-AD31-A2983724F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7350244"/>
          <a:ext cx="228600" cy="22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163</xdr:row>
      <xdr:rowOff>102394</xdr:rowOff>
    </xdr:from>
    <xdr:to>
      <xdr:col>2</xdr:col>
      <xdr:colOff>59531</xdr:colOff>
      <xdr:row>164</xdr:row>
      <xdr:rowOff>147638</xdr:rowOff>
    </xdr:to>
    <xdr:pic>
      <xdr:nvPicPr>
        <xdr:cNvPr id="298" name="Picture 1154" descr="red_16">
          <a:extLst>
            <a:ext uri="{FF2B5EF4-FFF2-40B4-BE49-F238E27FC236}">
              <a16:creationId xmlns:a16="http://schemas.microsoft.com/office/drawing/2014/main" id="{4AB85C59-226D-4AEA-AFF8-8C258DF20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7705844"/>
          <a:ext cx="228600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165</xdr:row>
      <xdr:rowOff>107156</xdr:rowOff>
    </xdr:from>
    <xdr:to>
      <xdr:col>2</xdr:col>
      <xdr:colOff>59531</xdr:colOff>
      <xdr:row>166</xdr:row>
      <xdr:rowOff>161925</xdr:rowOff>
    </xdr:to>
    <xdr:pic>
      <xdr:nvPicPr>
        <xdr:cNvPr id="299" name="Picture 1155" descr="red_17">
          <a:extLst>
            <a:ext uri="{FF2B5EF4-FFF2-40B4-BE49-F238E27FC236}">
              <a16:creationId xmlns:a16="http://schemas.microsoft.com/office/drawing/2014/main" id="{84E4D78A-65A4-4DE7-B0BF-9457E2A2B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8066206"/>
          <a:ext cx="228600" cy="232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168</xdr:row>
      <xdr:rowOff>54768</xdr:rowOff>
    </xdr:from>
    <xdr:to>
      <xdr:col>2</xdr:col>
      <xdr:colOff>59531</xdr:colOff>
      <xdr:row>169</xdr:row>
      <xdr:rowOff>114300</xdr:rowOff>
    </xdr:to>
    <xdr:pic>
      <xdr:nvPicPr>
        <xdr:cNvPr id="300" name="Picture 1156" descr="red_18">
          <a:extLst>
            <a:ext uri="{FF2B5EF4-FFF2-40B4-BE49-F238E27FC236}">
              <a16:creationId xmlns:a16="http://schemas.microsoft.com/office/drawing/2014/main" id="{49059867-E229-4BBE-8738-CFEDBBB4A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8426568"/>
          <a:ext cx="228600" cy="230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215</xdr:row>
      <xdr:rowOff>173832</xdr:rowOff>
    </xdr:from>
    <xdr:to>
      <xdr:col>3</xdr:col>
      <xdr:colOff>123824</xdr:colOff>
      <xdr:row>217</xdr:row>
      <xdr:rowOff>126206</xdr:rowOff>
    </xdr:to>
    <xdr:sp macro="" textlink="">
      <xdr:nvSpPr>
        <xdr:cNvPr id="301" name="Line 1157">
          <a:extLst>
            <a:ext uri="{FF2B5EF4-FFF2-40B4-BE49-F238E27FC236}">
              <a16:creationId xmlns:a16="http://schemas.microsoft.com/office/drawing/2014/main" id="{6EC945A2-1F04-44DC-B26E-853CE8C77E60}"/>
            </a:ext>
          </a:extLst>
        </xdr:cNvPr>
        <xdr:cNvSpPr>
          <a:spLocks noChangeShapeType="1"/>
        </xdr:cNvSpPr>
      </xdr:nvSpPr>
      <xdr:spPr bwMode="auto">
        <a:xfrm flipV="1">
          <a:off x="311150" y="364831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217</xdr:row>
      <xdr:rowOff>173831</xdr:rowOff>
    </xdr:from>
    <xdr:to>
      <xdr:col>3</xdr:col>
      <xdr:colOff>123824</xdr:colOff>
      <xdr:row>219</xdr:row>
      <xdr:rowOff>126207</xdr:rowOff>
    </xdr:to>
    <xdr:sp macro="" textlink="">
      <xdr:nvSpPr>
        <xdr:cNvPr id="302" name="Line 1158">
          <a:extLst>
            <a:ext uri="{FF2B5EF4-FFF2-40B4-BE49-F238E27FC236}">
              <a16:creationId xmlns:a16="http://schemas.microsoft.com/office/drawing/2014/main" id="{55F8CA4B-008B-4832-AE6F-32F06D384DC5}"/>
            </a:ext>
          </a:extLst>
        </xdr:cNvPr>
        <xdr:cNvSpPr>
          <a:spLocks noChangeShapeType="1"/>
        </xdr:cNvSpPr>
      </xdr:nvSpPr>
      <xdr:spPr bwMode="auto">
        <a:xfrm flipV="1">
          <a:off x="311150" y="36838731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219</xdr:row>
      <xdr:rowOff>173832</xdr:rowOff>
    </xdr:from>
    <xdr:to>
      <xdr:col>3</xdr:col>
      <xdr:colOff>123824</xdr:colOff>
      <xdr:row>221</xdr:row>
      <xdr:rowOff>126206</xdr:rowOff>
    </xdr:to>
    <xdr:sp macro="" textlink="">
      <xdr:nvSpPr>
        <xdr:cNvPr id="303" name="Line 1159">
          <a:extLst>
            <a:ext uri="{FF2B5EF4-FFF2-40B4-BE49-F238E27FC236}">
              <a16:creationId xmlns:a16="http://schemas.microsoft.com/office/drawing/2014/main" id="{3BE4CC82-85DF-4486-A7CC-077B083D6B7A}"/>
            </a:ext>
          </a:extLst>
        </xdr:cNvPr>
        <xdr:cNvSpPr>
          <a:spLocks noChangeShapeType="1"/>
        </xdr:cNvSpPr>
      </xdr:nvSpPr>
      <xdr:spPr bwMode="auto">
        <a:xfrm flipV="1">
          <a:off x="311150" y="371943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221</xdr:row>
      <xdr:rowOff>173831</xdr:rowOff>
    </xdr:from>
    <xdr:to>
      <xdr:col>3</xdr:col>
      <xdr:colOff>123824</xdr:colOff>
      <xdr:row>223</xdr:row>
      <xdr:rowOff>126207</xdr:rowOff>
    </xdr:to>
    <xdr:sp macro="" textlink="">
      <xdr:nvSpPr>
        <xdr:cNvPr id="304" name="Line 1160">
          <a:extLst>
            <a:ext uri="{FF2B5EF4-FFF2-40B4-BE49-F238E27FC236}">
              <a16:creationId xmlns:a16="http://schemas.microsoft.com/office/drawing/2014/main" id="{21A1C461-72DA-49ED-AA2A-FF646FC5DE38}"/>
            </a:ext>
          </a:extLst>
        </xdr:cNvPr>
        <xdr:cNvSpPr>
          <a:spLocks noChangeShapeType="1"/>
        </xdr:cNvSpPr>
      </xdr:nvSpPr>
      <xdr:spPr bwMode="auto">
        <a:xfrm flipV="1">
          <a:off x="311150" y="37549931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223</xdr:row>
      <xdr:rowOff>173832</xdr:rowOff>
    </xdr:from>
    <xdr:to>
      <xdr:col>3</xdr:col>
      <xdr:colOff>123824</xdr:colOff>
      <xdr:row>225</xdr:row>
      <xdr:rowOff>126206</xdr:rowOff>
    </xdr:to>
    <xdr:sp macro="" textlink="">
      <xdr:nvSpPr>
        <xdr:cNvPr id="305" name="Line 1161">
          <a:extLst>
            <a:ext uri="{FF2B5EF4-FFF2-40B4-BE49-F238E27FC236}">
              <a16:creationId xmlns:a16="http://schemas.microsoft.com/office/drawing/2014/main" id="{F70BFA60-FC80-4419-9E4E-A4A6D1D08164}"/>
            </a:ext>
          </a:extLst>
        </xdr:cNvPr>
        <xdr:cNvSpPr>
          <a:spLocks noChangeShapeType="1"/>
        </xdr:cNvSpPr>
      </xdr:nvSpPr>
      <xdr:spPr bwMode="auto">
        <a:xfrm flipV="1">
          <a:off x="311150" y="379055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226</xdr:row>
      <xdr:rowOff>0</xdr:rowOff>
    </xdr:from>
    <xdr:to>
      <xdr:col>3</xdr:col>
      <xdr:colOff>123824</xdr:colOff>
      <xdr:row>227</xdr:row>
      <xdr:rowOff>130969</xdr:rowOff>
    </xdr:to>
    <xdr:sp macro="" textlink="">
      <xdr:nvSpPr>
        <xdr:cNvPr id="306" name="Line 1162">
          <a:extLst>
            <a:ext uri="{FF2B5EF4-FFF2-40B4-BE49-F238E27FC236}">
              <a16:creationId xmlns:a16="http://schemas.microsoft.com/office/drawing/2014/main" id="{9AAEA3C8-021A-4659-9922-A73D4D7E7345}"/>
            </a:ext>
          </a:extLst>
        </xdr:cNvPr>
        <xdr:cNvSpPr>
          <a:spLocks noChangeShapeType="1"/>
        </xdr:cNvSpPr>
      </xdr:nvSpPr>
      <xdr:spPr bwMode="auto">
        <a:xfrm flipV="1">
          <a:off x="311150" y="38265100"/>
          <a:ext cx="409574" cy="30876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59531</xdr:colOff>
      <xdr:row>217</xdr:row>
      <xdr:rowOff>14287</xdr:rowOff>
    </xdr:from>
    <xdr:to>
      <xdr:col>2</xdr:col>
      <xdr:colOff>59531</xdr:colOff>
      <xdr:row>218</xdr:row>
      <xdr:rowOff>61912</xdr:rowOff>
    </xdr:to>
    <xdr:pic>
      <xdr:nvPicPr>
        <xdr:cNvPr id="307" name="Picture 1163" descr="red_19">
          <a:extLst>
            <a:ext uri="{FF2B5EF4-FFF2-40B4-BE49-F238E27FC236}">
              <a16:creationId xmlns:a16="http://schemas.microsoft.com/office/drawing/2014/main" id="{FF23E111-EB7B-433B-B75B-1DE1935F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6679187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219</xdr:row>
      <xdr:rowOff>14288</xdr:rowOff>
    </xdr:from>
    <xdr:to>
      <xdr:col>2</xdr:col>
      <xdr:colOff>59531</xdr:colOff>
      <xdr:row>220</xdr:row>
      <xdr:rowOff>61913</xdr:rowOff>
    </xdr:to>
    <xdr:pic>
      <xdr:nvPicPr>
        <xdr:cNvPr id="308" name="Picture 1164" descr="red_20">
          <a:extLst>
            <a:ext uri="{FF2B5EF4-FFF2-40B4-BE49-F238E27FC236}">
              <a16:creationId xmlns:a16="http://schemas.microsoft.com/office/drawing/2014/main" id="{B1DDC680-7B6F-4395-8E54-77E6FDAF0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034788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221</xdr:row>
      <xdr:rowOff>14287</xdr:rowOff>
    </xdr:from>
    <xdr:to>
      <xdr:col>2</xdr:col>
      <xdr:colOff>59531</xdr:colOff>
      <xdr:row>222</xdr:row>
      <xdr:rowOff>61912</xdr:rowOff>
    </xdr:to>
    <xdr:pic>
      <xdr:nvPicPr>
        <xdr:cNvPr id="309" name="Picture 1165" descr="red_21">
          <a:extLst>
            <a:ext uri="{FF2B5EF4-FFF2-40B4-BE49-F238E27FC236}">
              <a16:creationId xmlns:a16="http://schemas.microsoft.com/office/drawing/2014/main" id="{79FA47C3-BCBF-49F9-B179-CBCDBFBDA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390387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223</xdr:row>
      <xdr:rowOff>14288</xdr:rowOff>
    </xdr:from>
    <xdr:to>
      <xdr:col>2</xdr:col>
      <xdr:colOff>59531</xdr:colOff>
      <xdr:row>224</xdr:row>
      <xdr:rowOff>61913</xdr:rowOff>
    </xdr:to>
    <xdr:pic>
      <xdr:nvPicPr>
        <xdr:cNvPr id="310" name="Picture 1166" descr="red_22">
          <a:extLst>
            <a:ext uri="{FF2B5EF4-FFF2-40B4-BE49-F238E27FC236}">
              <a16:creationId xmlns:a16="http://schemas.microsoft.com/office/drawing/2014/main" id="{8119D897-E6FC-406C-B875-77D4FFC7E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745988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225</xdr:row>
      <xdr:rowOff>14287</xdr:rowOff>
    </xdr:from>
    <xdr:to>
      <xdr:col>2</xdr:col>
      <xdr:colOff>59531</xdr:colOff>
      <xdr:row>226</xdr:row>
      <xdr:rowOff>66675</xdr:rowOff>
    </xdr:to>
    <xdr:pic>
      <xdr:nvPicPr>
        <xdr:cNvPr id="311" name="Picture 1167" descr="red_23">
          <a:extLst>
            <a:ext uri="{FF2B5EF4-FFF2-40B4-BE49-F238E27FC236}">
              <a16:creationId xmlns:a16="http://schemas.microsoft.com/office/drawing/2014/main" id="{771DDD7D-6C4D-40FC-9D76-2081D81DB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8101587"/>
          <a:ext cx="228600" cy="23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227</xdr:row>
      <xdr:rowOff>16669</xdr:rowOff>
    </xdr:from>
    <xdr:to>
      <xdr:col>2</xdr:col>
      <xdr:colOff>59531</xdr:colOff>
      <xdr:row>228</xdr:row>
      <xdr:rowOff>64294</xdr:rowOff>
    </xdr:to>
    <xdr:pic>
      <xdr:nvPicPr>
        <xdr:cNvPr id="312" name="Picture 1168" descr="red_24">
          <a:extLst>
            <a:ext uri="{FF2B5EF4-FFF2-40B4-BE49-F238E27FC236}">
              <a16:creationId xmlns:a16="http://schemas.microsoft.com/office/drawing/2014/main" id="{F1268686-C250-4BE0-868A-49789D78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8459569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166688</xdr:colOff>
      <xdr:row>276</xdr:row>
      <xdr:rowOff>171450</xdr:rowOff>
    </xdr:from>
    <xdr:to>
      <xdr:col>3</xdr:col>
      <xdr:colOff>119062</xdr:colOff>
      <xdr:row>278</xdr:row>
      <xdr:rowOff>123825</xdr:rowOff>
    </xdr:to>
    <xdr:sp macro="" textlink="">
      <xdr:nvSpPr>
        <xdr:cNvPr id="313" name="Line 1169">
          <a:extLst>
            <a:ext uri="{FF2B5EF4-FFF2-40B4-BE49-F238E27FC236}">
              <a16:creationId xmlns:a16="http://schemas.microsoft.com/office/drawing/2014/main" id="{D7AA774B-D779-4BF3-958E-2A24EDCA2FA9}"/>
            </a:ext>
          </a:extLst>
        </xdr:cNvPr>
        <xdr:cNvSpPr>
          <a:spLocks noChangeShapeType="1"/>
        </xdr:cNvSpPr>
      </xdr:nvSpPr>
      <xdr:spPr bwMode="auto">
        <a:xfrm flipV="1">
          <a:off x="306388" y="467868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278</xdr:row>
      <xdr:rowOff>171450</xdr:rowOff>
    </xdr:from>
    <xdr:to>
      <xdr:col>3</xdr:col>
      <xdr:colOff>119062</xdr:colOff>
      <xdr:row>280</xdr:row>
      <xdr:rowOff>123825</xdr:rowOff>
    </xdr:to>
    <xdr:sp macro="" textlink="">
      <xdr:nvSpPr>
        <xdr:cNvPr id="314" name="Line 1170">
          <a:extLst>
            <a:ext uri="{FF2B5EF4-FFF2-40B4-BE49-F238E27FC236}">
              <a16:creationId xmlns:a16="http://schemas.microsoft.com/office/drawing/2014/main" id="{5B4556AC-6ABD-4EEF-929D-437C6857F82F}"/>
            </a:ext>
          </a:extLst>
        </xdr:cNvPr>
        <xdr:cNvSpPr>
          <a:spLocks noChangeShapeType="1"/>
        </xdr:cNvSpPr>
      </xdr:nvSpPr>
      <xdr:spPr bwMode="auto">
        <a:xfrm flipV="1">
          <a:off x="306388" y="471424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280</xdr:row>
      <xdr:rowOff>171450</xdr:rowOff>
    </xdr:from>
    <xdr:to>
      <xdr:col>3</xdr:col>
      <xdr:colOff>119062</xdr:colOff>
      <xdr:row>282</xdr:row>
      <xdr:rowOff>123825</xdr:rowOff>
    </xdr:to>
    <xdr:sp macro="" textlink="">
      <xdr:nvSpPr>
        <xdr:cNvPr id="315" name="Line 1171">
          <a:extLst>
            <a:ext uri="{FF2B5EF4-FFF2-40B4-BE49-F238E27FC236}">
              <a16:creationId xmlns:a16="http://schemas.microsoft.com/office/drawing/2014/main" id="{B90D0B63-3615-4899-B3F4-2A25F23D4C70}"/>
            </a:ext>
          </a:extLst>
        </xdr:cNvPr>
        <xdr:cNvSpPr>
          <a:spLocks noChangeShapeType="1"/>
        </xdr:cNvSpPr>
      </xdr:nvSpPr>
      <xdr:spPr bwMode="auto">
        <a:xfrm flipV="1">
          <a:off x="306388" y="474980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282</xdr:row>
      <xdr:rowOff>171450</xdr:rowOff>
    </xdr:from>
    <xdr:to>
      <xdr:col>3</xdr:col>
      <xdr:colOff>119062</xdr:colOff>
      <xdr:row>284</xdr:row>
      <xdr:rowOff>123825</xdr:rowOff>
    </xdr:to>
    <xdr:sp macro="" textlink="">
      <xdr:nvSpPr>
        <xdr:cNvPr id="316" name="Line 1172">
          <a:extLst>
            <a:ext uri="{FF2B5EF4-FFF2-40B4-BE49-F238E27FC236}">
              <a16:creationId xmlns:a16="http://schemas.microsoft.com/office/drawing/2014/main" id="{36F78C58-3C18-4EDB-8104-63B793613D83}"/>
            </a:ext>
          </a:extLst>
        </xdr:cNvPr>
        <xdr:cNvSpPr>
          <a:spLocks noChangeShapeType="1"/>
        </xdr:cNvSpPr>
      </xdr:nvSpPr>
      <xdr:spPr bwMode="auto">
        <a:xfrm flipV="1">
          <a:off x="306388" y="478536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284</xdr:row>
      <xdr:rowOff>171450</xdr:rowOff>
    </xdr:from>
    <xdr:to>
      <xdr:col>3</xdr:col>
      <xdr:colOff>119062</xdr:colOff>
      <xdr:row>286</xdr:row>
      <xdr:rowOff>123825</xdr:rowOff>
    </xdr:to>
    <xdr:sp macro="" textlink="">
      <xdr:nvSpPr>
        <xdr:cNvPr id="317" name="Line 1173">
          <a:extLst>
            <a:ext uri="{FF2B5EF4-FFF2-40B4-BE49-F238E27FC236}">
              <a16:creationId xmlns:a16="http://schemas.microsoft.com/office/drawing/2014/main" id="{F9A7B896-B0AC-4AC5-B3E7-8EB0286D7DA2}"/>
            </a:ext>
          </a:extLst>
        </xdr:cNvPr>
        <xdr:cNvSpPr>
          <a:spLocks noChangeShapeType="1"/>
        </xdr:cNvSpPr>
      </xdr:nvSpPr>
      <xdr:spPr bwMode="auto">
        <a:xfrm flipV="1">
          <a:off x="306388" y="482092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64294</xdr:colOff>
      <xdr:row>278</xdr:row>
      <xdr:rowOff>11906</xdr:rowOff>
    </xdr:from>
    <xdr:to>
      <xdr:col>2</xdr:col>
      <xdr:colOff>64294</xdr:colOff>
      <xdr:row>279</xdr:row>
      <xdr:rowOff>59532</xdr:rowOff>
    </xdr:to>
    <xdr:pic>
      <xdr:nvPicPr>
        <xdr:cNvPr id="318" name="Picture 1174" descr="red_25">
          <a:extLst>
            <a:ext uri="{FF2B5EF4-FFF2-40B4-BE49-F238E27FC236}">
              <a16:creationId xmlns:a16="http://schemas.microsoft.com/office/drawing/2014/main" id="{D77E8B4D-B382-4D35-832A-A432CD10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6982856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280</xdr:row>
      <xdr:rowOff>11906</xdr:rowOff>
    </xdr:from>
    <xdr:to>
      <xdr:col>2</xdr:col>
      <xdr:colOff>64294</xdr:colOff>
      <xdr:row>281</xdr:row>
      <xdr:rowOff>59531</xdr:rowOff>
    </xdr:to>
    <xdr:pic>
      <xdr:nvPicPr>
        <xdr:cNvPr id="319" name="Picture 1175" descr="red_26">
          <a:extLst>
            <a:ext uri="{FF2B5EF4-FFF2-40B4-BE49-F238E27FC236}">
              <a16:creationId xmlns:a16="http://schemas.microsoft.com/office/drawing/2014/main" id="{6B28B8C1-CD44-4013-8636-69D02269B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7338456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282</xdr:row>
      <xdr:rowOff>11906</xdr:rowOff>
    </xdr:from>
    <xdr:to>
      <xdr:col>2</xdr:col>
      <xdr:colOff>64294</xdr:colOff>
      <xdr:row>283</xdr:row>
      <xdr:rowOff>59532</xdr:rowOff>
    </xdr:to>
    <xdr:pic>
      <xdr:nvPicPr>
        <xdr:cNvPr id="320" name="Picture 1176" descr="red_27">
          <a:extLst>
            <a:ext uri="{FF2B5EF4-FFF2-40B4-BE49-F238E27FC236}">
              <a16:creationId xmlns:a16="http://schemas.microsoft.com/office/drawing/2014/main" id="{CD7F04DB-BB18-44AE-9D95-5C83ED09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7694056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284</xdr:row>
      <xdr:rowOff>11906</xdr:rowOff>
    </xdr:from>
    <xdr:to>
      <xdr:col>2</xdr:col>
      <xdr:colOff>64294</xdr:colOff>
      <xdr:row>285</xdr:row>
      <xdr:rowOff>59531</xdr:rowOff>
    </xdr:to>
    <xdr:pic>
      <xdr:nvPicPr>
        <xdr:cNvPr id="321" name="Picture 1177" descr="red_28">
          <a:extLst>
            <a:ext uri="{FF2B5EF4-FFF2-40B4-BE49-F238E27FC236}">
              <a16:creationId xmlns:a16="http://schemas.microsoft.com/office/drawing/2014/main" id="{05B6F678-B4E3-41AF-A1B7-9E49B631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049656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286</xdr:row>
      <xdr:rowOff>11906</xdr:rowOff>
    </xdr:from>
    <xdr:to>
      <xdr:col>2</xdr:col>
      <xdr:colOff>64294</xdr:colOff>
      <xdr:row>287</xdr:row>
      <xdr:rowOff>64294</xdr:rowOff>
    </xdr:to>
    <xdr:pic>
      <xdr:nvPicPr>
        <xdr:cNvPr id="322" name="Picture 1178" descr="red_29">
          <a:extLst>
            <a:ext uri="{FF2B5EF4-FFF2-40B4-BE49-F238E27FC236}">
              <a16:creationId xmlns:a16="http://schemas.microsoft.com/office/drawing/2014/main" id="{BB298EB3-1319-44FD-BC1F-0E203763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405256"/>
          <a:ext cx="228600" cy="23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166688</xdr:colOff>
      <xdr:row>287</xdr:row>
      <xdr:rowOff>7144</xdr:rowOff>
    </xdr:from>
    <xdr:to>
      <xdr:col>3</xdr:col>
      <xdr:colOff>119062</xdr:colOff>
      <xdr:row>288</xdr:row>
      <xdr:rowOff>138113</xdr:rowOff>
    </xdr:to>
    <xdr:sp macro="" textlink="">
      <xdr:nvSpPr>
        <xdr:cNvPr id="323" name="Line 1179">
          <a:extLst>
            <a:ext uri="{FF2B5EF4-FFF2-40B4-BE49-F238E27FC236}">
              <a16:creationId xmlns:a16="http://schemas.microsoft.com/office/drawing/2014/main" id="{3C8A0324-8179-4777-A166-87EDC4A8D6D1}"/>
            </a:ext>
          </a:extLst>
        </xdr:cNvPr>
        <xdr:cNvSpPr>
          <a:spLocks noChangeShapeType="1"/>
        </xdr:cNvSpPr>
      </xdr:nvSpPr>
      <xdr:spPr bwMode="auto">
        <a:xfrm flipV="1">
          <a:off x="306388" y="48578294"/>
          <a:ext cx="409574" cy="30876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64294</xdr:colOff>
      <xdr:row>288</xdr:row>
      <xdr:rowOff>14288</xdr:rowOff>
    </xdr:from>
    <xdr:to>
      <xdr:col>2</xdr:col>
      <xdr:colOff>64294</xdr:colOff>
      <xdr:row>289</xdr:row>
      <xdr:rowOff>61912</xdr:rowOff>
    </xdr:to>
    <xdr:pic>
      <xdr:nvPicPr>
        <xdr:cNvPr id="324" name="Picture 1180" descr="red_30">
          <a:extLst>
            <a:ext uri="{FF2B5EF4-FFF2-40B4-BE49-F238E27FC236}">
              <a16:creationId xmlns:a16="http://schemas.microsoft.com/office/drawing/2014/main" id="{7D48FBF5-0BE3-4FE0-B337-3F41CE6A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763238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180976</xdr:colOff>
      <xdr:row>333</xdr:row>
      <xdr:rowOff>140493</xdr:rowOff>
    </xdr:from>
    <xdr:to>
      <xdr:col>3</xdr:col>
      <xdr:colOff>133350</xdr:colOff>
      <xdr:row>336</xdr:row>
      <xdr:rowOff>35719</xdr:rowOff>
    </xdr:to>
    <xdr:sp macro="" textlink="">
      <xdr:nvSpPr>
        <xdr:cNvPr id="325" name="Line 1181">
          <a:extLst>
            <a:ext uri="{FF2B5EF4-FFF2-40B4-BE49-F238E27FC236}">
              <a16:creationId xmlns:a16="http://schemas.microsoft.com/office/drawing/2014/main" id="{AF46DB13-AED8-4AC9-AA9A-CA77D55F6CF2}"/>
            </a:ext>
          </a:extLst>
        </xdr:cNvPr>
        <xdr:cNvSpPr>
          <a:spLocks noChangeShapeType="1"/>
        </xdr:cNvSpPr>
      </xdr:nvSpPr>
      <xdr:spPr bwMode="auto">
        <a:xfrm flipV="1">
          <a:off x="320676" y="564776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336</xdr:row>
      <xdr:rowOff>71438</xdr:rowOff>
    </xdr:from>
    <xdr:to>
      <xdr:col>3</xdr:col>
      <xdr:colOff>133350</xdr:colOff>
      <xdr:row>338</xdr:row>
      <xdr:rowOff>38100</xdr:rowOff>
    </xdr:to>
    <xdr:sp macro="" textlink="">
      <xdr:nvSpPr>
        <xdr:cNvPr id="326" name="Line 1182">
          <a:extLst>
            <a:ext uri="{FF2B5EF4-FFF2-40B4-BE49-F238E27FC236}">
              <a16:creationId xmlns:a16="http://schemas.microsoft.com/office/drawing/2014/main" id="{0D861AAA-7772-494C-9DFC-8AE64D0DC718}"/>
            </a:ext>
          </a:extLst>
        </xdr:cNvPr>
        <xdr:cNvSpPr>
          <a:spLocks noChangeShapeType="1"/>
        </xdr:cNvSpPr>
      </xdr:nvSpPr>
      <xdr:spPr bwMode="auto">
        <a:xfrm flipV="1">
          <a:off x="320676" y="56821388"/>
          <a:ext cx="409574" cy="315912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338</xdr:row>
      <xdr:rowOff>83343</xdr:rowOff>
    </xdr:from>
    <xdr:to>
      <xdr:col>3</xdr:col>
      <xdr:colOff>133350</xdr:colOff>
      <xdr:row>340</xdr:row>
      <xdr:rowOff>38100</xdr:rowOff>
    </xdr:to>
    <xdr:sp macro="" textlink="">
      <xdr:nvSpPr>
        <xdr:cNvPr id="327" name="Line 1183">
          <a:extLst>
            <a:ext uri="{FF2B5EF4-FFF2-40B4-BE49-F238E27FC236}">
              <a16:creationId xmlns:a16="http://schemas.microsoft.com/office/drawing/2014/main" id="{48BB96E2-A1EE-4CB2-9584-5B749C572F2D}"/>
            </a:ext>
          </a:extLst>
        </xdr:cNvPr>
        <xdr:cNvSpPr>
          <a:spLocks noChangeShapeType="1"/>
        </xdr:cNvSpPr>
      </xdr:nvSpPr>
      <xdr:spPr bwMode="auto">
        <a:xfrm flipV="1">
          <a:off x="320676" y="57182543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340</xdr:row>
      <xdr:rowOff>83344</xdr:rowOff>
    </xdr:from>
    <xdr:to>
      <xdr:col>3</xdr:col>
      <xdr:colOff>133350</xdr:colOff>
      <xdr:row>342</xdr:row>
      <xdr:rowOff>38100</xdr:rowOff>
    </xdr:to>
    <xdr:sp macro="" textlink="">
      <xdr:nvSpPr>
        <xdr:cNvPr id="328" name="Line 1184">
          <a:extLst>
            <a:ext uri="{FF2B5EF4-FFF2-40B4-BE49-F238E27FC236}">
              <a16:creationId xmlns:a16="http://schemas.microsoft.com/office/drawing/2014/main" id="{DA4813E8-D927-4FEF-A26E-D3AB2F9255B8}"/>
            </a:ext>
          </a:extLst>
        </xdr:cNvPr>
        <xdr:cNvSpPr>
          <a:spLocks noChangeShapeType="1"/>
        </xdr:cNvSpPr>
      </xdr:nvSpPr>
      <xdr:spPr bwMode="auto">
        <a:xfrm flipV="1">
          <a:off x="320676" y="5753814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342</xdr:row>
      <xdr:rowOff>83343</xdr:rowOff>
    </xdr:from>
    <xdr:to>
      <xdr:col>3</xdr:col>
      <xdr:colOff>133350</xdr:colOff>
      <xdr:row>344</xdr:row>
      <xdr:rowOff>38100</xdr:rowOff>
    </xdr:to>
    <xdr:sp macro="" textlink="">
      <xdr:nvSpPr>
        <xdr:cNvPr id="329" name="Line 1185">
          <a:extLst>
            <a:ext uri="{FF2B5EF4-FFF2-40B4-BE49-F238E27FC236}">
              <a16:creationId xmlns:a16="http://schemas.microsoft.com/office/drawing/2014/main" id="{EB20850D-0359-426E-A370-6A4317B330AA}"/>
            </a:ext>
          </a:extLst>
        </xdr:cNvPr>
        <xdr:cNvSpPr>
          <a:spLocks noChangeShapeType="1"/>
        </xdr:cNvSpPr>
      </xdr:nvSpPr>
      <xdr:spPr bwMode="auto">
        <a:xfrm flipV="1">
          <a:off x="320676" y="57893743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344</xdr:row>
      <xdr:rowOff>83344</xdr:rowOff>
    </xdr:from>
    <xdr:to>
      <xdr:col>3</xdr:col>
      <xdr:colOff>133350</xdr:colOff>
      <xdr:row>346</xdr:row>
      <xdr:rowOff>38100</xdr:rowOff>
    </xdr:to>
    <xdr:sp macro="" textlink="">
      <xdr:nvSpPr>
        <xdr:cNvPr id="330" name="Line 1186">
          <a:extLst>
            <a:ext uri="{FF2B5EF4-FFF2-40B4-BE49-F238E27FC236}">
              <a16:creationId xmlns:a16="http://schemas.microsoft.com/office/drawing/2014/main" id="{785D336D-7E20-4EA0-8321-B64DC0C122F2}"/>
            </a:ext>
          </a:extLst>
        </xdr:cNvPr>
        <xdr:cNvSpPr>
          <a:spLocks noChangeShapeType="1"/>
        </xdr:cNvSpPr>
      </xdr:nvSpPr>
      <xdr:spPr bwMode="auto">
        <a:xfrm flipV="1">
          <a:off x="320676" y="5824934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66676</xdr:colOff>
      <xdr:row>334</xdr:row>
      <xdr:rowOff>150019</xdr:rowOff>
    </xdr:from>
    <xdr:to>
      <xdr:col>2</xdr:col>
      <xdr:colOff>76200</xdr:colOff>
      <xdr:row>336</xdr:row>
      <xdr:rowOff>138113</xdr:rowOff>
    </xdr:to>
    <xdr:pic>
      <xdr:nvPicPr>
        <xdr:cNvPr id="331" name="Picture 1187" descr="red_31">
          <a:extLst>
            <a:ext uri="{FF2B5EF4-FFF2-40B4-BE49-F238E27FC236}">
              <a16:creationId xmlns:a16="http://schemas.microsoft.com/office/drawing/2014/main" id="{BC6636A2-0037-4983-BC7D-D3C6B2C3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6665019"/>
          <a:ext cx="238124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337</xdr:row>
      <xdr:rowOff>102394</xdr:rowOff>
    </xdr:from>
    <xdr:to>
      <xdr:col>2</xdr:col>
      <xdr:colOff>76200</xdr:colOff>
      <xdr:row>338</xdr:row>
      <xdr:rowOff>150018</xdr:rowOff>
    </xdr:to>
    <xdr:pic>
      <xdr:nvPicPr>
        <xdr:cNvPr id="332" name="Picture 1188" descr="red_32">
          <a:extLst>
            <a:ext uri="{FF2B5EF4-FFF2-40B4-BE49-F238E27FC236}">
              <a16:creationId xmlns:a16="http://schemas.microsoft.com/office/drawing/2014/main" id="{B22C4727-D277-43B9-9B38-875F80EE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0237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339</xdr:row>
      <xdr:rowOff>102394</xdr:rowOff>
    </xdr:from>
    <xdr:to>
      <xdr:col>2</xdr:col>
      <xdr:colOff>76200</xdr:colOff>
      <xdr:row>340</xdr:row>
      <xdr:rowOff>150019</xdr:rowOff>
    </xdr:to>
    <xdr:pic>
      <xdr:nvPicPr>
        <xdr:cNvPr id="333" name="Picture 1189" descr="red_33">
          <a:extLst>
            <a:ext uri="{FF2B5EF4-FFF2-40B4-BE49-F238E27FC236}">
              <a16:creationId xmlns:a16="http://schemas.microsoft.com/office/drawing/2014/main" id="{05917A4A-889E-4B46-B088-2F0DDFD7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379394"/>
          <a:ext cx="238124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341</xdr:row>
      <xdr:rowOff>102394</xdr:rowOff>
    </xdr:from>
    <xdr:to>
      <xdr:col>2</xdr:col>
      <xdr:colOff>76200</xdr:colOff>
      <xdr:row>342</xdr:row>
      <xdr:rowOff>150018</xdr:rowOff>
    </xdr:to>
    <xdr:pic>
      <xdr:nvPicPr>
        <xdr:cNvPr id="334" name="Picture 1190" descr="red_34">
          <a:extLst>
            <a:ext uri="{FF2B5EF4-FFF2-40B4-BE49-F238E27FC236}">
              <a16:creationId xmlns:a16="http://schemas.microsoft.com/office/drawing/2014/main" id="{10506131-52BB-45C0-A580-BA5412D5A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7349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343</xdr:row>
      <xdr:rowOff>102394</xdr:rowOff>
    </xdr:from>
    <xdr:to>
      <xdr:col>2</xdr:col>
      <xdr:colOff>76200</xdr:colOff>
      <xdr:row>344</xdr:row>
      <xdr:rowOff>150019</xdr:rowOff>
    </xdr:to>
    <xdr:pic>
      <xdr:nvPicPr>
        <xdr:cNvPr id="335" name="Picture 1191" descr="red_35">
          <a:extLst>
            <a:ext uri="{FF2B5EF4-FFF2-40B4-BE49-F238E27FC236}">
              <a16:creationId xmlns:a16="http://schemas.microsoft.com/office/drawing/2014/main" id="{64911464-D7EA-49B6-9A9F-65BA978D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8090594"/>
          <a:ext cx="238124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345</xdr:row>
      <xdr:rowOff>102394</xdr:rowOff>
    </xdr:from>
    <xdr:to>
      <xdr:col>2</xdr:col>
      <xdr:colOff>76200</xdr:colOff>
      <xdr:row>346</xdr:row>
      <xdr:rowOff>150018</xdr:rowOff>
    </xdr:to>
    <xdr:pic>
      <xdr:nvPicPr>
        <xdr:cNvPr id="336" name="Picture 1192" descr="red_36">
          <a:extLst>
            <a:ext uri="{FF2B5EF4-FFF2-40B4-BE49-F238E27FC236}">
              <a16:creationId xmlns:a16="http://schemas.microsoft.com/office/drawing/2014/main" id="{3D660D0E-2974-4687-8B69-0A7AC8C20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84461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9</xdr:row>
      <xdr:rowOff>0</xdr:rowOff>
    </xdr:from>
    <xdr:to>
      <xdr:col>46</xdr:col>
      <xdr:colOff>0</xdr:colOff>
      <xdr:row>25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88FD0B7-B1F6-487A-962A-B0E4C9173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14287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63</xdr:col>
      <xdr:colOff>0</xdr:colOff>
      <xdr:row>25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0FE534-2769-415D-944E-2CC4E0ECF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14287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46</xdr:col>
      <xdr:colOff>0</xdr:colOff>
      <xdr:row>43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FB48C6B-B1D1-4AB3-BC78-1B12D0A63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45021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27</xdr:row>
      <xdr:rowOff>0</xdr:rowOff>
    </xdr:from>
    <xdr:to>
      <xdr:col>63</xdr:col>
      <xdr:colOff>0</xdr:colOff>
      <xdr:row>43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A79D28A-20E4-47C2-B5F6-6AC1B5897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45021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46</xdr:col>
      <xdr:colOff>0</xdr:colOff>
      <xdr:row>61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0C69601-B0C1-4888-BABE-2C6287E75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75755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63</xdr:col>
      <xdr:colOff>0</xdr:colOff>
      <xdr:row>61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9D6812F-8ED3-47CE-8089-E2E92AF8F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757555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71</xdr:row>
      <xdr:rowOff>0</xdr:rowOff>
    </xdr:from>
    <xdr:to>
      <xdr:col>46</xdr:col>
      <xdr:colOff>0</xdr:colOff>
      <xdr:row>87</xdr:row>
      <xdr:rowOff>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B732322-2ACC-4951-BA55-735A649A9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1191260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71</xdr:row>
      <xdr:rowOff>0</xdr:rowOff>
    </xdr:from>
    <xdr:to>
      <xdr:col>63</xdr:col>
      <xdr:colOff>0</xdr:colOff>
      <xdr:row>87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B2CA350-C283-4745-B796-9E6020E2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450" y="11912600"/>
          <a:ext cx="3759200" cy="2844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26</xdr:col>
      <xdr:colOff>224030</xdr:colOff>
      <xdr:row>184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8C75FBD-7D98-49DD-97FF-37201FE86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700" y="24174450"/>
          <a:ext cx="5939030" cy="7178675"/>
        </a:xfrm>
        <a:prstGeom prst="rect">
          <a:avLst/>
        </a:prstGeom>
      </xdr:spPr>
    </xdr:pic>
    <xdr:clientData/>
  </xdr:twoCellAnchor>
  <xdr:oneCellAnchor>
    <xdr:from>
      <xdr:col>11</xdr:col>
      <xdr:colOff>207169</xdr:colOff>
      <xdr:row>165</xdr:row>
      <xdr:rowOff>83343</xdr:rowOff>
    </xdr:from>
    <xdr:ext cx="923925" cy="226219"/>
    <xdr:sp macro="" textlink="">
      <xdr:nvSpPr>
        <xdr:cNvPr id="11" name="Text Box 61">
          <a:extLst>
            <a:ext uri="{FF2B5EF4-FFF2-40B4-BE49-F238E27FC236}">
              <a16:creationId xmlns:a16="http://schemas.microsoft.com/office/drawing/2014/main" id="{24B1FC1F-725C-4568-83ED-F39BB68B5E93}"/>
            </a:ext>
          </a:extLst>
        </xdr:cNvPr>
        <xdr:cNvSpPr txBox="1">
          <a:spLocks noChangeArrowheads="1"/>
        </xdr:cNvSpPr>
      </xdr:nvSpPr>
      <xdr:spPr bwMode="auto">
        <a:xfrm>
          <a:off x="2632869" y="28042393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10</xdr:col>
      <xdr:colOff>119064</xdr:colOff>
      <xdr:row>160</xdr:row>
      <xdr:rowOff>95250</xdr:rowOff>
    </xdr:from>
    <xdr:to>
      <xdr:col>17</xdr:col>
      <xdr:colOff>130971</xdr:colOff>
      <xdr:row>171</xdr:row>
      <xdr:rowOff>71438</xdr:rowOff>
    </xdr:to>
    <xdr:sp macro="" textlink="">
      <xdr:nvSpPr>
        <xdr:cNvPr id="12" name="フリーフォーム: 図形 11">
          <a:extLst>
            <a:ext uri="{FF2B5EF4-FFF2-40B4-BE49-F238E27FC236}">
              <a16:creationId xmlns:a16="http://schemas.microsoft.com/office/drawing/2014/main" id="{45BFED6B-F18E-4706-97B9-87A259737BAA}"/>
            </a:ext>
          </a:extLst>
        </xdr:cNvPr>
        <xdr:cNvSpPr/>
      </xdr:nvSpPr>
      <xdr:spPr bwMode="auto">
        <a:xfrm>
          <a:off x="2316164" y="27165300"/>
          <a:ext cx="1612107" cy="1804988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26</xdr:col>
      <xdr:colOff>224030</xdr:colOff>
      <xdr:row>122</xdr:row>
      <xdr:rowOff>142875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2D18624-5B2D-4AA1-93E5-DCDDD6F83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700" y="13690600"/>
          <a:ext cx="5939030" cy="7178675"/>
        </a:xfrm>
        <a:prstGeom prst="rect">
          <a:avLst/>
        </a:prstGeom>
      </xdr:spPr>
    </xdr:pic>
    <xdr:clientData/>
  </xdr:twoCellAnchor>
  <xdr:oneCellAnchor>
    <xdr:from>
      <xdr:col>11</xdr:col>
      <xdr:colOff>207169</xdr:colOff>
      <xdr:row>103</xdr:row>
      <xdr:rowOff>83344</xdr:rowOff>
    </xdr:from>
    <xdr:ext cx="923925" cy="226219"/>
    <xdr:sp macro="" textlink="">
      <xdr:nvSpPr>
        <xdr:cNvPr id="14" name="Text Box 61">
          <a:extLst>
            <a:ext uri="{FF2B5EF4-FFF2-40B4-BE49-F238E27FC236}">
              <a16:creationId xmlns:a16="http://schemas.microsoft.com/office/drawing/2014/main" id="{C423D53B-D643-442E-B1D3-ABB1EF7E4F08}"/>
            </a:ext>
          </a:extLst>
        </xdr:cNvPr>
        <xdr:cNvSpPr txBox="1">
          <a:spLocks noChangeArrowheads="1"/>
        </xdr:cNvSpPr>
      </xdr:nvSpPr>
      <xdr:spPr bwMode="auto">
        <a:xfrm>
          <a:off x="2632869" y="17558544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10</xdr:col>
      <xdr:colOff>119064</xdr:colOff>
      <xdr:row>98</xdr:row>
      <xdr:rowOff>95250</xdr:rowOff>
    </xdr:from>
    <xdr:to>
      <xdr:col>17</xdr:col>
      <xdr:colOff>130971</xdr:colOff>
      <xdr:row>109</xdr:row>
      <xdr:rowOff>71439</xdr:rowOff>
    </xdr:to>
    <xdr:sp macro="" textlink="">
      <xdr:nvSpPr>
        <xdr:cNvPr id="15" name="フリーフォーム: 図形 14">
          <a:extLst>
            <a:ext uri="{FF2B5EF4-FFF2-40B4-BE49-F238E27FC236}">
              <a16:creationId xmlns:a16="http://schemas.microsoft.com/office/drawing/2014/main" id="{32B3B881-7695-4444-9AAC-B6E7B2D4084B}"/>
            </a:ext>
          </a:extLst>
        </xdr:cNvPr>
        <xdr:cNvSpPr/>
      </xdr:nvSpPr>
      <xdr:spPr bwMode="auto">
        <a:xfrm>
          <a:off x="2316164" y="16681450"/>
          <a:ext cx="1612107" cy="1804989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142874</xdr:colOff>
      <xdr:row>19</xdr:row>
      <xdr:rowOff>0</xdr:rowOff>
    </xdr:from>
    <xdr:to>
      <xdr:col>26</xdr:col>
      <xdr:colOff>224029</xdr:colOff>
      <xdr:row>60</xdr:row>
      <xdr:rowOff>142875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B012C7A-C077-4126-A224-206EEDBDE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874" y="3206750"/>
          <a:ext cx="5935855" cy="7178675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16</xdr:row>
      <xdr:rowOff>9525</xdr:rowOff>
    </xdr:from>
    <xdr:to>
      <xdr:col>5</xdr:col>
      <xdr:colOff>123825</xdr:colOff>
      <xdr:row>18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040B71B-DD5B-4707-9180-067A925201BE}"/>
            </a:ext>
          </a:extLst>
        </xdr:cNvPr>
        <xdr:cNvSpPr>
          <a:spLocks/>
        </xdr:cNvSpPr>
      </xdr:nvSpPr>
      <xdr:spPr bwMode="auto">
        <a:xfrm>
          <a:off x="1101725" y="26828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25</xdr:col>
      <xdr:colOff>1</xdr:colOff>
      <xdr:row>15</xdr:row>
      <xdr:rowOff>171450</xdr:rowOff>
    </xdr:from>
    <xdr:to>
      <xdr:col>25</xdr:col>
      <xdr:colOff>47626</xdr:colOff>
      <xdr:row>17</xdr:row>
      <xdr:rowOff>161925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A8F5245A-2B1D-4215-9DF2-282F9F4C6D87}"/>
            </a:ext>
          </a:extLst>
        </xdr:cNvPr>
        <xdr:cNvSpPr>
          <a:spLocks/>
        </xdr:cNvSpPr>
      </xdr:nvSpPr>
      <xdr:spPr bwMode="auto">
        <a:xfrm rot="10800000">
          <a:off x="5626101" y="2667000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11</xdr:col>
      <xdr:colOff>207168</xdr:colOff>
      <xdr:row>41</xdr:row>
      <xdr:rowOff>83343</xdr:rowOff>
    </xdr:from>
    <xdr:ext cx="923925" cy="226219"/>
    <xdr:sp macro="" textlink="">
      <xdr:nvSpPr>
        <xdr:cNvPr id="19" name="Text Box 61">
          <a:extLst>
            <a:ext uri="{FF2B5EF4-FFF2-40B4-BE49-F238E27FC236}">
              <a16:creationId xmlns:a16="http://schemas.microsoft.com/office/drawing/2014/main" id="{5731BB63-F3A2-449C-A3E7-2B8CF1A84D0F}"/>
            </a:ext>
          </a:extLst>
        </xdr:cNvPr>
        <xdr:cNvSpPr txBox="1">
          <a:spLocks noChangeArrowheads="1"/>
        </xdr:cNvSpPr>
      </xdr:nvSpPr>
      <xdr:spPr bwMode="auto">
        <a:xfrm>
          <a:off x="2632868" y="7074693"/>
          <a:ext cx="9239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調査対象地</a:t>
          </a:r>
        </a:p>
      </xdr:txBody>
    </xdr:sp>
    <xdr:clientData/>
  </xdr:oneCellAnchor>
  <xdr:twoCellAnchor>
    <xdr:from>
      <xdr:col>72</xdr:col>
      <xdr:colOff>171450</xdr:colOff>
      <xdr:row>26</xdr:row>
      <xdr:rowOff>142875</xdr:rowOff>
    </xdr:from>
    <xdr:to>
      <xdr:col>76</xdr:col>
      <xdr:colOff>104775</xdr:colOff>
      <xdr:row>29</xdr:row>
      <xdr:rowOff>104775</xdr:rowOff>
    </xdr:to>
    <xdr:grpSp>
      <xdr:nvGrpSpPr>
        <xdr:cNvPr id="20" name="Group 661">
          <a:extLst>
            <a:ext uri="{FF2B5EF4-FFF2-40B4-BE49-F238E27FC236}">
              <a16:creationId xmlns:a16="http://schemas.microsoft.com/office/drawing/2014/main" id="{348AD6D9-472E-409F-84F4-1CF6E5ECC0BF}"/>
            </a:ext>
          </a:extLst>
        </xdr:cNvPr>
        <xdr:cNvGrpSpPr>
          <a:grpSpLocks/>
        </xdr:cNvGrpSpPr>
      </xdr:nvGrpSpPr>
      <xdr:grpSpPr bwMode="auto">
        <a:xfrm>
          <a:off x="16236950" y="4413250"/>
          <a:ext cx="1012825" cy="469900"/>
          <a:chOff x="1683" y="115"/>
          <a:chExt cx="105" cy="52"/>
        </a:xfrm>
      </xdr:grpSpPr>
      <xdr:sp macro="" textlink="">
        <xdr:nvSpPr>
          <xdr:cNvPr id="21" name="Line 659">
            <a:extLst>
              <a:ext uri="{FF2B5EF4-FFF2-40B4-BE49-F238E27FC236}">
                <a16:creationId xmlns:a16="http://schemas.microsoft.com/office/drawing/2014/main" id="{28B4576A-BF84-4B9C-B156-E37BB9D5AA3B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Text Box 660">
            <a:extLst>
              <a:ext uri="{FF2B5EF4-FFF2-40B4-BE49-F238E27FC236}">
                <a16:creationId xmlns:a16="http://schemas.microsoft.com/office/drawing/2014/main" id="{B952F009-58CF-4BAD-9A32-9125E66582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5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29</xdr:row>
      <xdr:rowOff>28575</xdr:rowOff>
    </xdr:from>
    <xdr:to>
      <xdr:col>76</xdr:col>
      <xdr:colOff>104775</xdr:colOff>
      <xdr:row>31</xdr:row>
      <xdr:rowOff>142875</xdr:rowOff>
    </xdr:to>
    <xdr:grpSp>
      <xdr:nvGrpSpPr>
        <xdr:cNvPr id="23" name="Group 662">
          <a:extLst>
            <a:ext uri="{FF2B5EF4-FFF2-40B4-BE49-F238E27FC236}">
              <a16:creationId xmlns:a16="http://schemas.microsoft.com/office/drawing/2014/main" id="{CDF47211-22FE-4959-B0D7-F876329EE99E}"/>
            </a:ext>
          </a:extLst>
        </xdr:cNvPr>
        <xdr:cNvGrpSpPr>
          <a:grpSpLocks/>
        </xdr:cNvGrpSpPr>
      </xdr:nvGrpSpPr>
      <xdr:grpSpPr bwMode="auto">
        <a:xfrm>
          <a:off x="16236950" y="4806950"/>
          <a:ext cx="1012825" cy="463550"/>
          <a:chOff x="1683" y="117"/>
          <a:chExt cx="105" cy="50"/>
        </a:xfrm>
      </xdr:grpSpPr>
      <xdr:sp macro="" textlink="">
        <xdr:nvSpPr>
          <xdr:cNvPr id="24" name="Line 663">
            <a:extLst>
              <a:ext uri="{FF2B5EF4-FFF2-40B4-BE49-F238E27FC236}">
                <a16:creationId xmlns:a16="http://schemas.microsoft.com/office/drawing/2014/main" id="{746F61E2-9A8D-4D55-B3B3-B84E99C1F0B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Text Box 664">
            <a:extLst>
              <a:ext uri="{FF2B5EF4-FFF2-40B4-BE49-F238E27FC236}">
                <a16:creationId xmlns:a16="http://schemas.microsoft.com/office/drawing/2014/main" id="{F57BA35E-10F7-4ACD-A169-D320DF1C5F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7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31</xdr:row>
      <xdr:rowOff>28575</xdr:rowOff>
    </xdr:from>
    <xdr:to>
      <xdr:col>76</xdr:col>
      <xdr:colOff>104775</xdr:colOff>
      <xdr:row>33</xdr:row>
      <xdr:rowOff>161925</xdr:rowOff>
    </xdr:to>
    <xdr:grpSp>
      <xdr:nvGrpSpPr>
        <xdr:cNvPr id="26" name="Group 665">
          <a:extLst>
            <a:ext uri="{FF2B5EF4-FFF2-40B4-BE49-F238E27FC236}">
              <a16:creationId xmlns:a16="http://schemas.microsoft.com/office/drawing/2014/main" id="{8B9AF75B-7B0C-47B4-B46F-4DFE55CB8C11}"/>
            </a:ext>
          </a:extLst>
        </xdr:cNvPr>
        <xdr:cNvGrpSpPr>
          <a:grpSpLocks/>
        </xdr:cNvGrpSpPr>
      </xdr:nvGrpSpPr>
      <xdr:grpSpPr bwMode="auto">
        <a:xfrm>
          <a:off x="16236950" y="5156200"/>
          <a:ext cx="1012825" cy="482600"/>
          <a:chOff x="1683" y="115"/>
          <a:chExt cx="105" cy="52"/>
        </a:xfrm>
      </xdr:grpSpPr>
      <xdr:sp macro="" textlink="">
        <xdr:nvSpPr>
          <xdr:cNvPr id="27" name="Line 666">
            <a:extLst>
              <a:ext uri="{FF2B5EF4-FFF2-40B4-BE49-F238E27FC236}">
                <a16:creationId xmlns:a16="http://schemas.microsoft.com/office/drawing/2014/main" id="{77601139-8599-4B11-9DCE-E8C539140776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Text Box 667">
            <a:extLst>
              <a:ext uri="{FF2B5EF4-FFF2-40B4-BE49-F238E27FC236}">
                <a16:creationId xmlns:a16="http://schemas.microsoft.com/office/drawing/2014/main" id="{99881D07-F2A9-47C8-AF84-30EF4178DF6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5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72</xdr:col>
      <xdr:colOff>171450</xdr:colOff>
      <xdr:row>33</xdr:row>
      <xdr:rowOff>28575</xdr:rowOff>
    </xdr:from>
    <xdr:to>
      <xdr:col>76</xdr:col>
      <xdr:colOff>104775</xdr:colOff>
      <xdr:row>35</xdr:row>
      <xdr:rowOff>171450</xdr:rowOff>
    </xdr:to>
    <xdr:grpSp>
      <xdr:nvGrpSpPr>
        <xdr:cNvPr id="29" name="Group 668">
          <a:extLst>
            <a:ext uri="{FF2B5EF4-FFF2-40B4-BE49-F238E27FC236}">
              <a16:creationId xmlns:a16="http://schemas.microsoft.com/office/drawing/2014/main" id="{E911BB87-C14A-4CCC-9F54-C48637A07127}"/>
            </a:ext>
          </a:extLst>
        </xdr:cNvPr>
        <xdr:cNvGrpSpPr>
          <a:grpSpLocks/>
        </xdr:cNvGrpSpPr>
      </xdr:nvGrpSpPr>
      <xdr:grpSpPr bwMode="auto">
        <a:xfrm>
          <a:off x="16236950" y="5505450"/>
          <a:ext cx="1012825" cy="492125"/>
          <a:chOff x="1683" y="114"/>
          <a:chExt cx="105" cy="53"/>
        </a:xfrm>
      </xdr:grpSpPr>
      <xdr:sp macro="" textlink="">
        <xdr:nvSpPr>
          <xdr:cNvPr id="30" name="Line 669">
            <a:extLst>
              <a:ext uri="{FF2B5EF4-FFF2-40B4-BE49-F238E27FC236}">
                <a16:creationId xmlns:a16="http://schemas.microsoft.com/office/drawing/2014/main" id="{D66ACD3C-C777-4C7F-AD8B-94125450A349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3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Text Box 670">
            <a:extLst>
              <a:ext uri="{FF2B5EF4-FFF2-40B4-BE49-F238E27FC236}">
                <a16:creationId xmlns:a16="http://schemas.microsoft.com/office/drawing/2014/main" id="{74A39553-D115-4928-AF8E-9D5D07BD82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7" y="114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28</xdr:row>
      <xdr:rowOff>0</xdr:rowOff>
    </xdr:from>
    <xdr:to>
      <xdr:col>78</xdr:col>
      <xdr:colOff>66675</xdr:colOff>
      <xdr:row>30</xdr:row>
      <xdr:rowOff>123825</xdr:rowOff>
    </xdr:to>
    <xdr:grpSp>
      <xdr:nvGrpSpPr>
        <xdr:cNvPr id="32" name="Group 674">
          <a:extLst>
            <a:ext uri="{FF2B5EF4-FFF2-40B4-BE49-F238E27FC236}">
              <a16:creationId xmlns:a16="http://schemas.microsoft.com/office/drawing/2014/main" id="{C9811D16-BD7F-43ED-9ED8-1ED449A00388}"/>
            </a:ext>
          </a:extLst>
        </xdr:cNvPr>
        <xdr:cNvGrpSpPr>
          <a:grpSpLocks/>
        </xdr:cNvGrpSpPr>
      </xdr:nvGrpSpPr>
      <xdr:grpSpPr bwMode="auto">
        <a:xfrm>
          <a:off x="16776700" y="4603750"/>
          <a:ext cx="974725" cy="473075"/>
          <a:chOff x="1889" y="116"/>
          <a:chExt cx="101" cy="51"/>
        </a:xfrm>
      </xdr:grpSpPr>
      <xdr:sp macro="" textlink="">
        <xdr:nvSpPr>
          <xdr:cNvPr id="33" name="Line 672">
            <a:extLst>
              <a:ext uri="{FF2B5EF4-FFF2-40B4-BE49-F238E27FC236}">
                <a16:creationId xmlns:a16="http://schemas.microsoft.com/office/drawing/2014/main" id="{1D0A02BB-6D34-4C57-9349-507F48846CBC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Text Box 673">
            <a:extLst>
              <a:ext uri="{FF2B5EF4-FFF2-40B4-BE49-F238E27FC236}">
                <a16:creationId xmlns:a16="http://schemas.microsoft.com/office/drawing/2014/main" id="{F4DF761B-4C1C-45C0-9707-91AC45DF04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6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30</xdr:row>
      <xdr:rowOff>28575</xdr:rowOff>
    </xdr:from>
    <xdr:to>
      <xdr:col>78</xdr:col>
      <xdr:colOff>66675</xdr:colOff>
      <xdr:row>32</xdr:row>
      <xdr:rowOff>161925</xdr:rowOff>
    </xdr:to>
    <xdr:grpSp>
      <xdr:nvGrpSpPr>
        <xdr:cNvPr id="35" name="Group 675">
          <a:extLst>
            <a:ext uri="{FF2B5EF4-FFF2-40B4-BE49-F238E27FC236}">
              <a16:creationId xmlns:a16="http://schemas.microsoft.com/office/drawing/2014/main" id="{645A5A93-ADEB-4D83-BC54-32EC47DE1E46}"/>
            </a:ext>
          </a:extLst>
        </xdr:cNvPr>
        <xdr:cNvGrpSpPr>
          <a:grpSpLocks/>
        </xdr:cNvGrpSpPr>
      </xdr:nvGrpSpPr>
      <xdr:grpSpPr bwMode="auto">
        <a:xfrm>
          <a:off x="16776700" y="4981575"/>
          <a:ext cx="974725" cy="482600"/>
          <a:chOff x="1889" y="115"/>
          <a:chExt cx="101" cy="52"/>
        </a:xfrm>
      </xdr:grpSpPr>
      <xdr:sp macro="" textlink="">
        <xdr:nvSpPr>
          <xdr:cNvPr id="36" name="Line 676">
            <a:extLst>
              <a:ext uri="{FF2B5EF4-FFF2-40B4-BE49-F238E27FC236}">
                <a16:creationId xmlns:a16="http://schemas.microsoft.com/office/drawing/2014/main" id="{30AAECB5-A7C5-4AB2-BA97-737F59359535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Text Box 677">
            <a:extLst>
              <a:ext uri="{FF2B5EF4-FFF2-40B4-BE49-F238E27FC236}">
                <a16:creationId xmlns:a16="http://schemas.microsoft.com/office/drawing/2014/main" id="{03A343DD-2F93-4456-A23A-129964831E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5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32</xdr:row>
      <xdr:rowOff>47625</xdr:rowOff>
    </xdr:from>
    <xdr:to>
      <xdr:col>78</xdr:col>
      <xdr:colOff>66675</xdr:colOff>
      <xdr:row>35</xdr:row>
      <xdr:rowOff>0</xdr:rowOff>
    </xdr:to>
    <xdr:grpSp>
      <xdr:nvGrpSpPr>
        <xdr:cNvPr id="38" name="Group 687">
          <a:extLst>
            <a:ext uri="{FF2B5EF4-FFF2-40B4-BE49-F238E27FC236}">
              <a16:creationId xmlns:a16="http://schemas.microsoft.com/office/drawing/2014/main" id="{4D2359CC-6337-4A16-B6A2-E8C531366903}"/>
            </a:ext>
          </a:extLst>
        </xdr:cNvPr>
        <xdr:cNvGrpSpPr>
          <a:grpSpLocks/>
        </xdr:cNvGrpSpPr>
      </xdr:nvGrpSpPr>
      <xdr:grpSpPr bwMode="auto">
        <a:xfrm>
          <a:off x="16776700" y="5349875"/>
          <a:ext cx="974725" cy="476250"/>
          <a:chOff x="1889" y="115"/>
          <a:chExt cx="101" cy="52"/>
        </a:xfrm>
      </xdr:grpSpPr>
      <xdr:sp macro="" textlink="">
        <xdr:nvSpPr>
          <xdr:cNvPr id="39" name="Line 688">
            <a:extLst>
              <a:ext uri="{FF2B5EF4-FFF2-40B4-BE49-F238E27FC236}">
                <a16:creationId xmlns:a16="http://schemas.microsoft.com/office/drawing/2014/main" id="{1D03F955-42AB-4183-B816-FFD388E8B281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Text Box 689">
            <a:extLst>
              <a:ext uri="{FF2B5EF4-FFF2-40B4-BE49-F238E27FC236}">
                <a16:creationId xmlns:a16="http://schemas.microsoft.com/office/drawing/2014/main" id="{4026099A-3E1B-476B-89A2-E92BE289BB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5"/>
            <a:ext cx="7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twoCellAnchor>
    <xdr:from>
      <xdr:col>74</xdr:col>
      <xdr:colOff>171450</xdr:colOff>
      <xdr:row>34</xdr:row>
      <xdr:rowOff>76200</xdr:rowOff>
    </xdr:from>
    <xdr:to>
      <xdr:col>78</xdr:col>
      <xdr:colOff>66675</xdr:colOff>
      <xdr:row>37</xdr:row>
      <xdr:rowOff>9525</xdr:rowOff>
    </xdr:to>
    <xdr:grpSp>
      <xdr:nvGrpSpPr>
        <xdr:cNvPr id="41" name="Group 690">
          <a:extLst>
            <a:ext uri="{FF2B5EF4-FFF2-40B4-BE49-F238E27FC236}">
              <a16:creationId xmlns:a16="http://schemas.microsoft.com/office/drawing/2014/main" id="{2E479C7E-90CA-41FA-8285-385847BC43F1}"/>
            </a:ext>
          </a:extLst>
        </xdr:cNvPr>
        <xdr:cNvGrpSpPr>
          <a:grpSpLocks/>
        </xdr:cNvGrpSpPr>
      </xdr:nvGrpSpPr>
      <xdr:grpSpPr bwMode="auto">
        <a:xfrm>
          <a:off x="16776700" y="5727700"/>
          <a:ext cx="974725" cy="457200"/>
          <a:chOff x="1889" y="117"/>
          <a:chExt cx="101" cy="50"/>
        </a:xfrm>
      </xdr:grpSpPr>
      <xdr:sp macro="" textlink="">
        <xdr:nvSpPr>
          <xdr:cNvPr id="42" name="Line 691">
            <a:extLst>
              <a:ext uri="{FF2B5EF4-FFF2-40B4-BE49-F238E27FC236}">
                <a16:creationId xmlns:a16="http://schemas.microsoft.com/office/drawing/2014/main" id="{685DF244-411E-4DF9-B58F-20A1A85F4CF8}"/>
              </a:ext>
            </a:extLst>
          </xdr:cNvPr>
          <xdr:cNvSpPr>
            <a:spLocks noChangeShapeType="1"/>
          </xdr:cNvSpPr>
        </xdr:nvSpPr>
        <xdr:spPr bwMode="auto">
          <a:xfrm>
            <a:off x="1954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Text Box 692">
            <a:extLst>
              <a:ext uri="{FF2B5EF4-FFF2-40B4-BE49-F238E27FC236}">
                <a16:creationId xmlns:a16="http://schemas.microsoft.com/office/drawing/2014/main" id="{BAF00F36-0031-4604-84F8-83985D53D0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9" y="117"/>
            <a:ext cx="71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件外建物</a:t>
            </a:r>
          </a:p>
        </xdr:txBody>
      </xdr:sp>
    </xdr:grpSp>
    <xdr:clientData/>
  </xdr:twoCellAnchor>
  <xdr:oneCellAnchor>
    <xdr:from>
      <xdr:col>74</xdr:col>
      <xdr:colOff>142875</xdr:colOff>
      <xdr:row>9</xdr:row>
      <xdr:rowOff>28575</xdr:rowOff>
    </xdr:from>
    <xdr:ext cx="719138" cy="226219"/>
    <xdr:sp macro="" textlink="">
      <xdr:nvSpPr>
        <xdr:cNvPr id="44" name="Text Box 693">
          <a:extLst>
            <a:ext uri="{FF2B5EF4-FFF2-40B4-BE49-F238E27FC236}">
              <a16:creationId xmlns:a16="http://schemas.microsoft.com/office/drawing/2014/main" id="{75B19539-8520-4D1C-BD40-00D7B12E4CA8}"/>
            </a:ext>
          </a:extLst>
        </xdr:cNvPr>
        <xdr:cNvSpPr txBox="1">
          <a:spLocks noChangeArrowheads="1"/>
        </xdr:cNvSpPr>
      </xdr:nvSpPr>
      <xdr:spPr bwMode="auto">
        <a:xfrm>
          <a:off x="17294225" y="1457325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8</xdr:row>
      <xdr:rowOff>57150</xdr:rowOff>
    </xdr:from>
    <xdr:to>
      <xdr:col>78</xdr:col>
      <xdr:colOff>247650</xdr:colOff>
      <xdr:row>11</xdr:row>
      <xdr:rowOff>66675</xdr:rowOff>
    </xdr:to>
    <xdr:sp macro="" textlink="">
      <xdr:nvSpPr>
        <xdr:cNvPr id="45" name="Freeform 694">
          <a:extLst>
            <a:ext uri="{FF2B5EF4-FFF2-40B4-BE49-F238E27FC236}">
              <a16:creationId xmlns:a16="http://schemas.microsoft.com/office/drawing/2014/main" id="{66D6F659-7B15-4599-9A47-4D24C8D34C48}"/>
            </a:ext>
          </a:extLst>
        </xdr:cNvPr>
        <xdr:cNvSpPr>
          <a:spLocks/>
        </xdr:cNvSpPr>
      </xdr:nvSpPr>
      <xdr:spPr bwMode="auto">
        <a:xfrm>
          <a:off x="16837025" y="1257300"/>
          <a:ext cx="1628775" cy="593725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13</xdr:row>
      <xdr:rowOff>0</xdr:rowOff>
    </xdr:from>
    <xdr:ext cx="719138" cy="226219"/>
    <xdr:sp macro="" textlink="">
      <xdr:nvSpPr>
        <xdr:cNvPr id="46" name="Text Box 695">
          <a:extLst>
            <a:ext uri="{FF2B5EF4-FFF2-40B4-BE49-F238E27FC236}">
              <a16:creationId xmlns:a16="http://schemas.microsoft.com/office/drawing/2014/main" id="{117573BB-E724-4B31-9103-462CAFCC99FD}"/>
            </a:ext>
          </a:extLst>
        </xdr:cNvPr>
        <xdr:cNvSpPr txBox="1">
          <a:spLocks noChangeArrowheads="1"/>
        </xdr:cNvSpPr>
      </xdr:nvSpPr>
      <xdr:spPr bwMode="auto">
        <a:xfrm>
          <a:off x="17294225" y="2139950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12</xdr:row>
      <xdr:rowOff>0</xdr:rowOff>
    </xdr:from>
    <xdr:to>
      <xdr:col>78</xdr:col>
      <xdr:colOff>247650</xdr:colOff>
      <xdr:row>15</xdr:row>
      <xdr:rowOff>0</xdr:rowOff>
    </xdr:to>
    <xdr:sp macro="" textlink="">
      <xdr:nvSpPr>
        <xdr:cNvPr id="47" name="Freeform 696">
          <a:extLst>
            <a:ext uri="{FF2B5EF4-FFF2-40B4-BE49-F238E27FC236}">
              <a16:creationId xmlns:a16="http://schemas.microsoft.com/office/drawing/2014/main" id="{3BFCEF71-D30D-4D9C-BA8D-951A33C049BB}"/>
            </a:ext>
          </a:extLst>
        </xdr:cNvPr>
        <xdr:cNvSpPr>
          <a:spLocks/>
        </xdr:cNvSpPr>
      </xdr:nvSpPr>
      <xdr:spPr bwMode="auto">
        <a:xfrm>
          <a:off x="16837025" y="1962150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16</xdr:row>
      <xdr:rowOff>76200</xdr:rowOff>
    </xdr:from>
    <xdr:ext cx="719138" cy="226219"/>
    <xdr:sp macro="" textlink="">
      <xdr:nvSpPr>
        <xdr:cNvPr id="48" name="Text Box 697">
          <a:extLst>
            <a:ext uri="{FF2B5EF4-FFF2-40B4-BE49-F238E27FC236}">
              <a16:creationId xmlns:a16="http://schemas.microsoft.com/office/drawing/2014/main" id="{DE1CC051-818C-43E3-86CA-FA0D60FAC8B9}"/>
            </a:ext>
          </a:extLst>
        </xdr:cNvPr>
        <xdr:cNvSpPr txBox="1">
          <a:spLocks noChangeArrowheads="1"/>
        </xdr:cNvSpPr>
      </xdr:nvSpPr>
      <xdr:spPr bwMode="auto">
        <a:xfrm>
          <a:off x="17294225" y="2749550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15</xdr:row>
      <xdr:rowOff>123825</xdr:rowOff>
    </xdr:from>
    <xdr:to>
      <xdr:col>78</xdr:col>
      <xdr:colOff>247650</xdr:colOff>
      <xdr:row>18</xdr:row>
      <xdr:rowOff>123825</xdr:rowOff>
    </xdr:to>
    <xdr:sp macro="" textlink="">
      <xdr:nvSpPr>
        <xdr:cNvPr id="49" name="Freeform 698">
          <a:extLst>
            <a:ext uri="{FF2B5EF4-FFF2-40B4-BE49-F238E27FC236}">
              <a16:creationId xmlns:a16="http://schemas.microsoft.com/office/drawing/2014/main" id="{C9BAF1B5-BAB8-49B7-95E8-092C71D31724}"/>
            </a:ext>
          </a:extLst>
        </xdr:cNvPr>
        <xdr:cNvSpPr>
          <a:spLocks/>
        </xdr:cNvSpPr>
      </xdr:nvSpPr>
      <xdr:spPr bwMode="auto">
        <a:xfrm>
          <a:off x="16837025" y="2619375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74</xdr:col>
      <xdr:colOff>142875</xdr:colOff>
      <xdr:row>20</xdr:row>
      <xdr:rowOff>28575</xdr:rowOff>
    </xdr:from>
    <xdr:ext cx="719138" cy="226219"/>
    <xdr:sp macro="" textlink="">
      <xdr:nvSpPr>
        <xdr:cNvPr id="50" name="Text Box 699">
          <a:extLst>
            <a:ext uri="{FF2B5EF4-FFF2-40B4-BE49-F238E27FC236}">
              <a16:creationId xmlns:a16="http://schemas.microsoft.com/office/drawing/2014/main" id="{9C662175-5103-4BFF-8384-C358BB6943D8}"/>
            </a:ext>
          </a:extLst>
        </xdr:cNvPr>
        <xdr:cNvSpPr txBox="1">
          <a:spLocks noChangeArrowheads="1"/>
        </xdr:cNvSpPr>
      </xdr:nvSpPr>
      <xdr:spPr bwMode="auto">
        <a:xfrm>
          <a:off x="17294225" y="3413125"/>
          <a:ext cx="719138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件外建物</a:t>
          </a:r>
        </a:p>
      </xdr:txBody>
    </xdr:sp>
    <xdr:clientData/>
  </xdr:oneCellAnchor>
  <xdr:twoCellAnchor>
    <xdr:from>
      <xdr:col>72</xdr:col>
      <xdr:colOff>219075</xdr:colOff>
      <xdr:row>19</xdr:row>
      <xdr:rowOff>57150</xdr:rowOff>
    </xdr:from>
    <xdr:to>
      <xdr:col>78</xdr:col>
      <xdr:colOff>247650</xdr:colOff>
      <xdr:row>22</xdr:row>
      <xdr:rowOff>57150</xdr:rowOff>
    </xdr:to>
    <xdr:sp macro="" textlink="">
      <xdr:nvSpPr>
        <xdr:cNvPr id="51" name="Freeform 700">
          <a:extLst>
            <a:ext uri="{FF2B5EF4-FFF2-40B4-BE49-F238E27FC236}">
              <a16:creationId xmlns:a16="http://schemas.microsoft.com/office/drawing/2014/main" id="{AB8A6EE6-F0B0-4FB2-BBE7-4302BB68A9BB}"/>
            </a:ext>
          </a:extLst>
        </xdr:cNvPr>
        <xdr:cNvSpPr>
          <a:spLocks/>
        </xdr:cNvSpPr>
      </xdr:nvSpPr>
      <xdr:spPr bwMode="auto">
        <a:xfrm>
          <a:off x="16837025" y="3263900"/>
          <a:ext cx="1628775" cy="533400"/>
        </a:xfrm>
        <a:custGeom>
          <a:avLst/>
          <a:gdLst>
            <a:gd name="T0" fmla="*/ 1 w 171"/>
            <a:gd name="T1" fmla="*/ 0 h 67"/>
            <a:gd name="T2" fmla="*/ 171 w 171"/>
            <a:gd name="T3" fmla="*/ 0 h 67"/>
            <a:gd name="T4" fmla="*/ 171 w 171"/>
            <a:gd name="T5" fmla="*/ 67 h 67"/>
            <a:gd name="T6" fmla="*/ 0 w 171"/>
            <a:gd name="T7" fmla="*/ 67 h 67"/>
            <a:gd name="T8" fmla="*/ 0 w 171"/>
            <a:gd name="T9" fmla="*/ 0 h 67"/>
            <a:gd name="T10" fmla="*/ 1 w 171"/>
            <a:gd name="T11" fmla="*/ 0 h 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71" h="67">
              <a:moveTo>
                <a:pt x="1" y="0"/>
              </a:moveTo>
              <a:lnTo>
                <a:pt x="171" y="0"/>
              </a:lnTo>
              <a:lnTo>
                <a:pt x="171" y="67"/>
              </a:lnTo>
              <a:lnTo>
                <a:pt x="0" y="67"/>
              </a:lnTo>
              <a:lnTo>
                <a:pt x="0" y="0"/>
              </a:lnTo>
              <a:lnTo>
                <a:pt x="1" y="0"/>
              </a:lnTo>
              <a:close/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78</xdr:row>
      <xdr:rowOff>9525</xdr:rowOff>
    </xdr:from>
    <xdr:to>
      <xdr:col>5</xdr:col>
      <xdr:colOff>123825</xdr:colOff>
      <xdr:row>80</xdr:row>
      <xdr:rowOff>0</xdr:rowOff>
    </xdr:to>
    <xdr:sp macro="" textlink="">
      <xdr:nvSpPr>
        <xdr:cNvPr id="52" name="AutoShape 1063">
          <a:extLst>
            <a:ext uri="{FF2B5EF4-FFF2-40B4-BE49-F238E27FC236}">
              <a16:creationId xmlns:a16="http://schemas.microsoft.com/office/drawing/2014/main" id="{2C3EDB99-14EC-4B9B-A664-79AE1A95E577}"/>
            </a:ext>
          </a:extLst>
        </xdr:cNvPr>
        <xdr:cNvSpPr>
          <a:spLocks/>
        </xdr:cNvSpPr>
      </xdr:nvSpPr>
      <xdr:spPr bwMode="auto">
        <a:xfrm>
          <a:off x="1101725" y="131667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78</xdr:row>
      <xdr:rowOff>9525</xdr:rowOff>
    </xdr:from>
    <xdr:to>
      <xdr:col>25</xdr:col>
      <xdr:colOff>28575</xdr:colOff>
      <xdr:row>80</xdr:row>
      <xdr:rowOff>0</xdr:rowOff>
    </xdr:to>
    <xdr:sp macro="" textlink="">
      <xdr:nvSpPr>
        <xdr:cNvPr id="53" name="AutoShape 1064">
          <a:extLst>
            <a:ext uri="{FF2B5EF4-FFF2-40B4-BE49-F238E27FC236}">
              <a16:creationId xmlns:a16="http://schemas.microsoft.com/office/drawing/2014/main" id="{40487E98-0143-4E09-A0C6-BD7B4CA1F619}"/>
            </a:ext>
          </a:extLst>
        </xdr:cNvPr>
        <xdr:cNvSpPr>
          <a:spLocks/>
        </xdr:cNvSpPr>
      </xdr:nvSpPr>
      <xdr:spPr bwMode="auto">
        <a:xfrm rot="10800000">
          <a:off x="5607050" y="131667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140</xdr:row>
      <xdr:rowOff>9525</xdr:rowOff>
    </xdr:from>
    <xdr:to>
      <xdr:col>5</xdr:col>
      <xdr:colOff>123825</xdr:colOff>
      <xdr:row>142</xdr:row>
      <xdr:rowOff>0</xdr:rowOff>
    </xdr:to>
    <xdr:sp macro="" textlink="">
      <xdr:nvSpPr>
        <xdr:cNvPr id="54" name="AutoShape 1065">
          <a:extLst>
            <a:ext uri="{FF2B5EF4-FFF2-40B4-BE49-F238E27FC236}">
              <a16:creationId xmlns:a16="http://schemas.microsoft.com/office/drawing/2014/main" id="{DCF513C5-F51B-4529-9937-87C46B3FDC70}"/>
            </a:ext>
          </a:extLst>
        </xdr:cNvPr>
        <xdr:cNvSpPr>
          <a:spLocks/>
        </xdr:cNvSpPr>
      </xdr:nvSpPr>
      <xdr:spPr bwMode="auto">
        <a:xfrm>
          <a:off x="1101725" y="236505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140</xdr:row>
      <xdr:rowOff>9525</xdr:rowOff>
    </xdr:from>
    <xdr:to>
      <xdr:col>25</xdr:col>
      <xdr:colOff>28575</xdr:colOff>
      <xdr:row>142</xdr:row>
      <xdr:rowOff>0</xdr:rowOff>
    </xdr:to>
    <xdr:sp macro="" textlink="">
      <xdr:nvSpPr>
        <xdr:cNvPr id="55" name="AutoShape 1066">
          <a:extLst>
            <a:ext uri="{FF2B5EF4-FFF2-40B4-BE49-F238E27FC236}">
              <a16:creationId xmlns:a16="http://schemas.microsoft.com/office/drawing/2014/main" id="{26CB2CB0-6BDD-4F62-B442-A6C7C0BD75FE}"/>
            </a:ext>
          </a:extLst>
        </xdr:cNvPr>
        <xdr:cNvSpPr>
          <a:spLocks/>
        </xdr:cNvSpPr>
      </xdr:nvSpPr>
      <xdr:spPr bwMode="auto">
        <a:xfrm rot="10800000">
          <a:off x="5607050" y="2365057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202</xdr:row>
      <xdr:rowOff>9525</xdr:rowOff>
    </xdr:from>
    <xdr:to>
      <xdr:col>5</xdr:col>
      <xdr:colOff>123825</xdr:colOff>
      <xdr:row>204</xdr:row>
      <xdr:rowOff>0</xdr:rowOff>
    </xdr:to>
    <xdr:sp macro="" textlink="">
      <xdr:nvSpPr>
        <xdr:cNvPr id="56" name="AutoShape 1067">
          <a:extLst>
            <a:ext uri="{FF2B5EF4-FFF2-40B4-BE49-F238E27FC236}">
              <a16:creationId xmlns:a16="http://schemas.microsoft.com/office/drawing/2014/main" id="{647BF9D0-8F01-4D3A-942B-58B926778F97}"/>
            </a:ext>
          </a:extLst>
        </xdr:cNvPr>
        <xdr:cNvSpPr>
          <a:spLocks/>
        </xdr:cNvSpPr>
      </xdr:nvSpPr>
      <xdr:spPr bwMode="auto">
        <a:xfrm>
          <a:off x="1101725" y="341344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202</xdr:row>
      <xdr:rowOff>9525</xdr:rowOff>
    </xdr:from>
    <xdr:to>
      <xdr:col>25</xdr:col>
      <xdr:colOff>28575</xdr:colOff>
      <xdr:row>204</xdr:row>
      <xdr:rowOff>0</xdr:rowOff>
    </xdr:to>
    <xdr:sp macro="" textlink="">
      <xdr:nvSpPr>
        <xdr:cNvPr id="57" name="AutoShape 1068">
          <a:extLst>
            <a:ext uri="{FF2B5EF4-FFF2-40B4-BE49-F238E27FC236}">
              <a16:creationId xmlns:a16="http://schemas.microsoft.com/office/drawing/2014/main" id="{69277D89-CBBF-4FB0-BB65-23977AC9BF91}"/>
            </a:ext>
          </a:extLst>
        </xdr:cNvPr>
        <xdr:cNvSpPr>
          <a:spLocks/>
        </xdr:cNvSpPr>
      </xdr:nvSpPr>
      <xdr:spPr bwMode="auto">
        <a:xfrm rot="10800000">
          <a:off x="5607050" y="341344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264</xdr:row>
      <xdr:rowOff>9525</xdr:rowOff>
    </xdr:from>
    <xdr:to>
      <xdr:col>5</xdr:col>
      <xdr:colOff>123825</xdr:colOff>
      <xdr:row>266</xdr:row>
      <xdr:rowOff>0</xdr:rowOff>
    </xdr:to>
    <xdr:sp macro="" textlink="">
      <xdr:nvSpPr>
        <xdr:cNvPr id="58" name="AutoShape 1069">
          <a:extLst>
            <a:ext uri="{FF2B5EF4-FFF2-40B4-BE49-F238E27FC236}">
              <a16:creationId xmlns:a16="http://schemas.microsoft.com/office/drawing/2014/main" id="{2145E869-160D-46D2-BD02-32C3E60257FE}"/>
            </a:ext>
          </a:extLst>
        </xdr:cNvPr>
        <xdr:cNvSpPr>
          <a:spLocks/>
        </xdr:cNvSpPr>
      </xdr:nvSpPr>
      <xdr:spPr bwMode="auto">
        <a:xfrm>
          <a:off x="1101725" y="4461827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264</xdr:row>
      <xdr:rowOff>9525</xdr:rowOff>
    </xdr:from>
    <xdr:to>
      <xdr:col>25</xdr:col>
      <xdr:colOff>28575</xdr:colOff>
      <xdr:row>266</xdr:row>
      <xdr:rowOff>0</xdr:rowOff>
    </xdr:to>
    <xdr:sp macro="" textlink="">
      <xdr:nvSpPr>
        <xdr:cNvPr id="59" name="AutoShape 1070">
          <a:extLst>
            <a:ext uri="{FF2B5EF4-FFF2-40B4-BE49-F238E27FC236}">
              <a16:creationId xmlns:a16="http://schemas.microsoft.com/office/drawing/2014/main" id="{ED44C54F-C482-4830-BB99-24836AFA157C}"/>
            </a:ext>
          </a:extLst>
        </xdr:cNvPr>
        <xdr:cNvSpPr>
          <a:spLocks/>
        </xdr:cNvSpPr>
      </xdr:nvSpPr>
      <xdr:spPr bwMode="auto">
        <a:xfrm rot="10800000">
          <a:off x="5607050" y="4461827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326</xdr:row>
      <xdr:rowOff>9525</xdr:rowOff>
    </xdr:from>
    <xdr:to>
      <xdr:col>5</xdr:col>
      <xdr:colOff>123825</xdr:colOff>
      <xdr:row>328</xdr:row>
      <xdr:rowOff>0</xdr:rowOff>
    </xdr:to>
    <xdr:sp macro="" textlink="">
      <xdr:nvSpPr>
        <xdr:cNvPr id="60" name="AutoShape 1119">
          <a:extLst>
            <a:ext uri="{FF2B5EF4-FFF2-40B4-BE49-F238E27FC236}">
              <a16:creationId xmlns:a16="http://schemas.microsoft.com/office/drawing/2014/main" id="{ECF1CDE2-1A05-4DF0-AA2D-A99F27C7CE3D}"/>
            </a:ext>
          </a:extLst>
        </xdr:cNvPr>
        <xdr:cNvSpPr>
          <a:spLocks/>
        </xdr:cNvSpPr>
      </xdr:nvSpPr>
      <xdr:spPr bwMode="auto">
        <a:xfrm>
          <a:off x="1101725" y="55102125"/>
          <a:ext cx="76200" cy="346075"/>
        </a:xfrm>
        <a:prstGeom prst="leftBracket">
          <a:avLst>
            <a:gd name="adj" fmla="val 3854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209550</xdr:colOff>
      <xdr:row>326</xdr:row>
      <xdr:rowOff>9525</xdr:rowOff>
    </xdr:from>
    <xdr:to>
      <xdr:col>25</xdr:col>
      <xdr:colOff>28575</xdr:colOff>
      <xdr:row>328</xdr:row>
      <xdr:rowOff>0</xdr:rowOff>
    </xdr:to>
    <xdr:sp macro="" textlink="">
      <xdr:nvSpPr>
        <xdr:cNvPr id="61" name="AutoShape 1120">
          <a:extLst>
            <a:ext uri="{FF2B5EF4-FFF2-40B4-BE49-F238E27FC236}">
              <a16:creationId xmlns:a16="http://schemas.microsoft.com/office/drawing/2014/main" id="{721E79F1-6A34-4C0D-8F09-1B44FE069214}"/>
            </a:ext>
          </a:extLst>
        </xdr:cNvPr>
        <xdr:cNvSpPr>
          <a:spLocks/>
        </xdr:cNvSpPr>
      </xdr:nvSpPr>
      <xdr:spPr bwMode="auto">
        <a:xfrm rot="10800000">
          <a:off x="5607050" y="55102125"/>
          <a:ext cx="47625" cy="346075"/>
        </a:xfrm>
        <a:prstGeom prst="leftBracket">
          <a:avLst>
            <a:gd name="adj" fmla="val 61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38</xdr:col>
      <xdr:colOff>64294</xdr:colOff>
      <xdr:row>14</xdr:row>
      <xdr:rowOff>1</xdr:rowOff>
    </xdr:from>
    <xdr:to>
      <xdr:col>42</xdr:col>
      <xdr:colOff>16669</xdr:colOff>
      <xdr:row>16</xdr:row>
      <xdr:rowOff>130969</xdr:rowOff>
    </xdr:to>
    <xdr:grpSp>
      <xdr:nvGrpSpPr>
        <xdr:cNvPr id="62" name="Group 1196">
          <a:extLst>
            <a:ext uri="{FF2B5EF4-FFF2-40B4-BE49-F238E27FC236}">
              <a16:creationId xmlns:a16="http://schemas.microsoft.com/office/drawing/2014/main" id="{D804C9CE-2374-4A1B-A42E-056E706DD2DF}"/>
            </a:ext>
          </a:extLst>
        </xdr:cNvPr>
        <xdr:cNvGrpSpPr>
          <a:grpSpLocks/>
        </xdr:cNvGrpSpPr>
      </xdr:nvGrpSpPr>
      <xdr:grpSpPr bwMode="auto">
        <a:xfrm>
          <a:off x="8271669" y="2301876"/>
          <a:ext cx="841375" cy="480218"/>
          <a:chOff x="1148" y="209"/>
          <a:chExt cx="95" cy="52"/>
        </a:xfrm>
      </xdr:grpSpPr>
      <xdr:sp macro="" textlink="">
        <xdr:nvSpPr>
          <xdr:cNvPr id="63" name="Line 1197">
            <a:extLst>
              <a:ext uri="{FF2B5EF4-FFF2-40B4-BE49-F238E27FC236}">
                <a16:creationId xmlns:a16="http://schemas.microsoft.com/office/drawing/2014/main" id="{ED7616A3-D3EC-4DE9-B705-B9586397535D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Text Box 1198">
            <a:extLst>
              <a:ext uri="{FF2B5EF4-FFF2-40B4-BE49-F238E27FC236}">
                <a16:creationId xmlns:a16="http://schemas.microsoft.com/office/drawing/2014/main" id="{387CE3B0-5537-4148-B158-3A65EC0CD8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34</xdr:col>
      <xdr:colOff>164307</xdr:colOff>
      <xdr:row>29</xdr:row>
      <xdr:rowOff>59531</xdr:rowOff>
    </xdr:from>
    <xdr:to>
      <xdr:col>38</xdr:col>
      <xdr:colOff>230982</xdr:colOff>
      <xdr:row>31</xdr:row>
      <xdr:rowOff>171450</xdr:rowOff>
    </xdr:to>
    <xdr:grpSp>
      <xdr:nvGrpSpPr>
        <xdr:cNvPr id="65" name="Group 1205">
          <a:extLst>
            <a:ext uri="{FF2B5EF4-FFF2-40B4-BE49-F238E27FC236}">
              <a16:creationId xmlns:a16="http://schemas.microsoft.com/office/drawing/2014/main" id="{DC408506-2BAB-4096-BBAA-9650F16519FF}"/>
            </a:ext>
          </a:extLst>
        </xdr:cNvPr>
        <xdr:cNvGrpSpPr>
          <a:grpSpLocks/>
        </xdr:cNvGrpSpPr>
      </xdr:nvGrpSpPr>
      <xdr:grpSpPr bwMode="auto">
        <a:xfrm>
          <a:off x="7482682" y="4837906"/>
          <a:ext cx="955675" cy="461169"/>
          <a:chOff x="986" y="117"/>
          <a:chExt cx="107" cy="50"/>
        </a:xfrm>
      </xdr:grpSpPr>
      <xdr:sp macro="" textlink="">
        <xdr:nvSpPr>
          <xdr:cNvPr id="66" name="Line 1206">
            <a:extLst>
              <a:ext uri="{FF2B5EF4-FFF2-40B4-BE49-F238E27FC236}">
                <a16:creationId xmlns:a16="http://schemas.microsoft.com/office/drawing/2014/main" id="{BD991AEC-9105-4F34-9428-7DF25691C75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Text Box 1207">
            <a:extLst>
              <a:ext uri="{FF2B5EF4-FFF2-40B4-BE49-F238E27FC236}">
                <a16:creationId xmlns:a16="http://schemas.microsoft.com/office/drawing/2014/main" id="{49CB7C6E-67B3-420B-9935-6FC35D17FD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48</xdr:col>
      <xdr:colOff>69056</xdr:colOff>
      <xdr:row>30</xdr:row>
      <xdr:rowOff>142874</xdr:rowOff>
    </xdr:from>
    <xdr:to>
      <xdr:col>52</xdr:col>
      <xdr:colOff>135731</xdr:colOff>
      <xdr:row>33</xdr:row>
      <xdr:rowOff>76199</xdr:rowOff>
    </xdr:to>
    <xdr:grpSp>
      <xdr:nvGrpSpPr>
        <xdr:cNvPr id="68" name="Group 1211">
          <a:extLst>
            <a:ext uri="{FF2B5EF4-FFF2-40B4-BE49-F238E27FC236}">
              <a16:creationId xmlns:a16="http://schemas.microsoft.com/office/drawing/2014/main" id="{7ABE8DAB-D148-41B0-BAFC-EC9767B293D2}"/>
            </a:ext>
          </a:extLst>
        </xdr:cNvPr>
        <xdr:cNvGrpSpPr>
          <a:grpSpLocks/>
        </xdr:cNvGrpSpPr>
      </xdr:nvGrpSpPr>
      <xdr:grpSpPr bwMode="auto">
        <a:xfrm>
          <a:off x="10498931" y="5095874"/>
          <a:ext cx="955675" cy="457200"/>
          <a:chOff x="986" y="117"/>
          <a:chExt cx="107" cy="50"/>
        </a:xfrm>
      </xdr:grpSpPr>
      <xdr:sp macro="" textlink="">
        <xdr:nvSpPr>
          <xdr:cNvPr id="69" name="Line 1212">
            <a:extLst>
              <a:ext uri="{FF2B5EF4-FFF2-40B4-BE49-F238E27FC236}">
                <a16:creationId xmlns:a16="http://schemas.microsoft.com/office/drawing/2014/main" id="{D57CE318-1E16-46FB-8854-3965FBB6211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Text Box 1213">
            <a:extLst>
              <a:ext uri="{FF2B5EF4-FFF2-40B4-BE49-F238E27FC236}">
                <a16:creationId xmlns:a16="http://schemas.microsoft.com/office/drawing/2014/main" id="{381D1C91-2D91-4910-9859-4C76A6EC5C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33</xdr:col>
      <xdr:colOff>159544</xdr:colOff>
      <xdr:row>47</xdr:row>
      <xdr:rowOff>95250</xdr:rowOff>
    </xdr:from>
    <xdr:to>
      <xdr:col>37</xdr:col>
      <xdr:colOff>16669</xdr:colOff>
      <xdr:row>50</xdr:row>
      <xdr:rowOff>47625</xdr:rowOff>
    </xdr:to>
    <xdr:grpSp>
      <xdr:nvGrpSpPr>
        <xdr:cNvPr id="71" name="Group 1220">
          <a:extLst>
            <a:ext uri="{FF2B5EF4-FFF2-40B4-BE49-F238E27FC236}">
              <a16:creationId xmlns:a16="http://schemas.microsoft.com/office/drawing/2014/main" id="{BD150505-6A0C-4415-96A4-C1364DCDDE35}"/>
            </a:ext>
          </a:extLst>
        </xdr:cNvPr>
        <xdr:cNvGrpSpPr>
          <a:grpSpLocks/>
        </xdr:cNvGrpSpPr>
      </xdr:nvGrpSpPr>
      <xdr:grpSpPr bwMode="auto">
        <a:xfrm>
          <a:off x="7255669" y="7874000"/>
          <a:ext cx="746125" cy="476250"/>
          <a:chOff x="1148" y="209"/>
          <a:chExt cx="95" cy="52"/>
        </a:xfrm>
      </xdr:grpSpPr>
      <xdr:sp macro="" textlink="">
        <xdr:nvSpPr>
          <xdr:cNvPr id="72" name="Line 1221">
            <a:extLst>
              <a:ext uri="{FF2B5EF4-FFF2-40B4-BE49-F238E27FC236}">
                <a16:creationId xmlns:a16="http://schemas.microsoft.com/office/drawing/2014/main" id="{0CDE3C5A-D787-427B-80DE-D91D5EAD433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Box 1222">
            <a:extLst>
              <a:ext uri="{FF2B5EF4-FFF2-40B4-BE49-F238E27FC236}">
                <a16:creationId xmlns:a16="http://schemas.microsoft.com/office/drawing/2014/main" id="{80606FCC-E1A6-433C-BBCB-E0C3DB392F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50</xdr:col>
      <xdr:colOff>195262</xdr:colOff>
      <xdr:row>49</xdr:row>
      <xdr:rowOff>47625</xdr:rowOff>
    </xdr:from>
    <xdr:to>
      <xdr:col>54</xdr:col>
      <xdr:colOff>52387</xdr:colOff>
      <xdr:row>52</xdr:row>
      <xdr:rowOff>0</xdr:rowOff>
    </xdr:to>
    <xdr:grpSp>
      <xdr:nvGrpSpPr>
        <xdr:cNvPr id="74" name="Group 1226">
          <a:extLst>
            <a:ext uri="{FF2B5EF4-FFF2-40B4-BE49-F238E27FC236}">
              <a16:creationId xmlns:a16="http://schemas.microsoft.com/office/drawing/2014/main" id="{CF23D104-D140-429C-B409-6D119461EFEA}"/>
            </a:ext>
          </a:extLst>
        </xdr:cNvPr>
        <xdr:cNvGrpSpPr>
          <a:grpSpLocks/>
        </xdr:cNvGrpSpPr>
      </xdr:nvGrpSpPr>
      <xdr:grpSpPr bwMode="auto">
        <a:xfrm>
          <a:off x="11069637" y="8175625"/>
          <a:ext cx="746125" cy="476250"/>
          <a:chOff x="1148" y="209"/>
          <a:chExt cx="95" cy="52"/>
        </a:xfrm>
      </xdr:grpSpPr>
      <xdr:sp macro="" textlink="">
        <xdr:nvSpPr>
          <xdr:cNvPr id="75" name="Line 1227">
            <a:extLst>
              <a:ext uri="{FF2B5EF4-FFF2-40B4-BE49-F238E27FC236}">
                <a16:creationId xmlns:a16="http://schemas.microsoft.com/office/drawing/2014/main" id="{B5553793-6462-4B94-96CB-529B556D60C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Text Box 1228">
            <a:extLst>
              <a:ext uri="{FF2B5EF4-FFF2-40B4-BE49-F238E27FC236}">
                <a16:creationId xmlns:a16="http://schemas.microsoft.com/office/drawing/2014/main" id="{5642B380-46C5-4493-AE1F-7772CDDCBE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53</xdr:col>
      <xdr:colOff>57150</xdr:colOff>
      <xdr:row>74</xdr:row>
      <xdr:rowOff>147638</xdr:rowOff>
    </xdr:from>
    <xdr:to>
      <xdr:col>57</xdr:col>
      <xdr:colOff>123825</xdr:colOff>
      <xdr:row>77</xdr:row>
      <xdr:rowOff>152400</xdr:rowOff>
    </xdr:to>
    <xdr:grpSp>
      <xdr:nvGrpSpPr>
        <xdr:cNvPr id="77" name="Group 1235">
          <a:extLst>
            <a:ext uri="{FF2B5EF4-FFF2-40B4-BE49-F238E27FC236}">
              <a16:creationId xmlns:a16="http://schemas.microsoft.com/office/drawing/2014/main" id="{8D5E0D02-F78A-4A1C-A408-B9B8DBAC4EA0}"/>
            </a:ext>
          </a:extLst>
        </xdr:cNvPr>
        <xdr:cNvGrpSpPr>
          <a:grpSpLocks/>
        </xdr:cNvGrpSpPr>
      </xdr:nvGrpSpPr>
      <xdr:grpSpPr bwMode="auto">
        <a:xfrm>
          <a:off x="11598275" y="12387263"/>
          <a:ext cx="955675" cy="528637"/>
          <a:chOff x="986" y="117"/>
          <a:chExt cx="107" cy="50"/>
        </a:xfrm>
      </xdr:grpSpPr>
      <xdr:sp macro="" textlink="">
        <xdr:nvSpPr>
          <xdr:cNvPr id="78" name="Line 1236">
            <a:extLst>
              <a:ext uri="{FF2B5EF4-FFF2-40B4-BE49-F238E27FC236}">
                <a16:creationId xmlns:a16="http://schemas.microsoft.com/office/drawing/2014/main" id="{E101C577-DA00-4325-9E59-1E5B4D270013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Text Box 1237">
            <a:extLst>
              <a:ext uri="{FF2B5EF4-FFF2-40B4-BE49-F238E27FC236}">
                <a16:creationId xmlns:a16="http://schemas.microsoft.com/office/drawing/2014/main" id="{2D492DFF-54F0-49CB-AC67-E22B0A5A888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132</xdr:row>
      <xdr:rowOff>28575</xdr:rowOff>
    </xdr:from>
    <xdr:to>
      <xdr:col>45</xdr:col>
      <xdr:colOff>28575</xdr:colOff>
      <xdr:row>134</xdr:row>
      <xdr:rowOff>152400</xdr:rowOff>
    </xdr:to>
    <xdr:grpSp>
      <xdr:nvGrpSpPr>
        <xdr:cNvPr id="80" name="Group 1265">
          <a:extLst>
            <a:ext uri="{FF2B5EF4-FFF2-40B4-BE49-F238E27FC236}">
              <a16:creationId xmlns:a16="http://schemas.microsoft.com/office/drawing/2014/main" id="{76EE8C88-AE8D-423D-AB9B-EDD4A88E7434}"/>
            </a:ext>
          </a:extLst>
        </xdr:cNvPr>
        <xdr:cNvGrpSpPr>
          <a:grpSpLocks/>
        </xdr:cNvGrpSpPr>
      </xdr:nvGrpSpPr>
      <xdr:grpSpPr bwMode="auto">
        <a:xfrm>
          <a:off x="8851900" y="21809075"/>
          <a:ext cx="939800" cy="520700"/>
          <a:chOff x="986" y="117"/>
          <a:chExt cx="107" cy="50"/>
        </a:xfrm>
      </xdr:grpSpPr>
      <xdr:sp macro="" textlink="">
        <xdr:nvSpPr>
          <xdr:cNvPr id="81" name="Line 1266">
            <a:extLst>
              <a:ext uri="{FF2B5EF4-FFF2-40B4-BE49-F238E27FC236}">
                <a16:creationId xmlns:a16="http://schemas.microsoft.com/office/drawing/2014/main" id="{D352EF07-9A58-47ED-8731-A81361B6607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Text Box 1267">
            <a:extLst>
              <a:ext uri="{FF2B5EF4-FFF2-40B4-BE49-F238E27FC236}">
                <a16:creationId xmlns:a16="http://schemas.microsoft.com/office/drawing/2014/main" id="{E3BDBA5C-BAD2-4C30-B52C-20E281B31F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133</xdr:row>
      <xdr:rowOff>142875</xdr:rowOff>
    </xdr:from>
    <xdr:to>
      <xdr:col>45</xdr:col>
      <xdr:colOff>171450</xdr:colOff>
      <xdr:row>136</xdr:row>
      <xdr:rowOff>95250</xdr:rowOff>
    </xdr:to>
    <xdr:grpSp>
      <xdr:nvGrpSpPr>
        <xdr:cNvPr id="83" name="Group 1268">
          <a:extLst>
            <a:ext uri="{FF2B5EF4-FFF2-40B4-BE49-F238E27FC236}">
              <a16:creationId xmlns:a16="http://schemas.microsoft.com/office/drawing/2014/main" id="{EA6E985C-EA25-49BE-80CE-C189604139A6}"/>
            </a:ext>
          </a:extLst>
        </xdr:cNvPr>
        <xdr:cNvGrpSpPr>
          <a:grpSpLocks/>
        </xdr:cNvGrpSpPr>
      </xdr:nvGrpSpPr>
      <xdr:grpSpPr bwMode="auto">
        <a:xfrm>
          <a:off x="9172575" y="22145625"/>
          <a:ext cx="762000" cy="476250"/>
          <a:chOff x="1148" y="209"/>
          <a:chExt cx="95" cy="52"/>
        </a:xfrm>
      </xdr:grpSpPr>
      <xdr:sp macro="" textlink="">
        <xdr:nvSpPr>
          <xdr:cNvPr id="84" name="Line 1269">
            <a:extLst>
              <a:ext uri="{FF2B5EF4-FFF2-40B4-BE49-F238E27FC236}">
                <a16:creationId xmlns:a16="http://schemas.microsoft.com/office/drawing/2014/main" id="{BA42839E-0EC7-4EB1-827F-79842B2D6A98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Text Box 1270">
            <a:extLst>
              <a:ext uri="{FF2B5EF4-FFF2-40B4-BE49-F238E27FC236}">
                <a16:creationId xmlns:a16="http://schemas.microsoft.com/office/drawing/2014/main" id="{2E277132-6C00-4464-BF9F-C7E8AFCC226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132</xdr:row>
      <xdr:rowOff>28575</xdr:rowOff>
    </xdr:from>
    <xdr:to>
      <xdr:col>62</xdr:col>
      <xdr:colOff>28575</xdr:colOff>
      <xdr:row>134</xdr:row>
      <xdr:rowOff>152400</xdr:rowOff>
    </xdr:to>
    <xdr:grpSp>
      <xdr:nvGrpSpPr>
        <xdr:cNvPr id="86" name="Group 1271">
          <a:extLst>
            <a:ext uri="{FF2B5EF4-FFF2-40B4-BE49-F238E27FC236}">
              <a16:creationId xmlns:a16="http://schemas.microsoft.com/office/drawing/2014/main" id="{9EB3DECA-FD00-4307-815C-A7E99EBF02E4}"/>
            </a:ext>
          </a:extLst>
        </xdr:cNvPr>
        <xdr:cNvGrpSpPr>
          <a:grpSpLocks/>
        </xdr:cNvGrpSpPr>
      </xdr:nvGrpSpPr>
      <xdr:grpSpPr bwMode="auto">
        <a:xfrm>
          <a:off x="12630150" y="21809075"/>
          <a:ext cx="939800" cy="520700"/>
          <a:chOff x="986" y="117"/>
          <a:chExt cx="107" cy="50"/>
        </a:xfrm>
      </xdr:grpSpPr>
      <xdr:sp macro="" textlink="">
        <xdr:nvSpPr>
          <xdr:cNvPr id="87" name="Line 1272">
            <a:extLst>
              <a:ext uri="{FF2B5EF4-FFF2-40B4-BE49-F238E27FC236}">
                <a16:creationId xmlns:a16="http://schemas.microsoft.com/office/drawing/2014/main" id="{1A95149E-EFB3-4226-B37D-D08A4A99A5B9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Text Box 1273">
            <a:extLst>
              <a:ext uri="{FF2B5EF4-FFF2-40B4-BE49-F238E27FC236}">
                <a16:creationId xmlns:a16="http://schemas.microsoft.com/office/drawing/2014/main" id="{9BBAEB6A-137C-4DDE-903A-E10879DFFA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133</xdr:row>
      <xdr:rowOff>142875</xdr:rowOff>
    </xdr:from>
    <xdr:to>
      <xdr:col>62</xdr:col>
      <xdr:colOff>171450</xdr:colOff>
      <xdr:row>136</xdr:row>
      <xdr:rowOff>95250</xdr:rowOff>
    </xdr:to>
    <xdr:grpSp>
      <xdr:nvGrpSpPr>
        <xdr:cNvPr id="89" name="Group 1274">
          <a:extLst>
            <a:ext uri="{FF2B5EF4-FFF2-40B4-BE49-F238E27FC236}">
              <a16:creationId xmlns:a16="http://schemas.microsoft.com/office/drawing/2014/main" id="{A1D5DA7B-FF9D-4D64-8A41-6DFC76CF3086}"/>
            </a:ext>
          </a:extLst>
        </xdr:cNvPr>
        <xdr:cNvGrpSpPr>
          <a:grpSpLocks/>
        </xdr:cNvGrpSpPr>
      </xdr:nvGrpSpPr>
      <xdr:grpSpPr bwMode="auto">
        <a:xfrm>
          <a:off x="12950825" y="22145625"/>
          <a:ext cx="762000" cy="476250"/>
          <a:chOff x="1148" y="209"/>
          <a:chExt cx="95" cy="52"/>
        </a:xfrm>
      </xdr:grpSpPr>
      <xdr:sp macro="" textlink="">
        <xdr:nvSpPr>
          <xdr:cNvPr id="90" name="Line 1275">
            <a:extLst>
              <a:ext uri="{FF2B5EF4-FFF2-40B4-BE49-F238E27FC236}">
                <a16:creationId xmlns:a16="http://schemas.microsoft.com/office/drawing/2014/main" id="{8559073F-CC72-4919-A388-7BDCE4C1010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Text Box 1276">
            <a:extLst>
              <a:ext uri="{FF2B5EF4-FFF2-40B4-BE49-F238E27FC236}">
                <a16:creationId xmlns:a16="http://schemas.microsoft.com/office/drawing/2014/main" id="{6F80A40B-275E-4ECF-A62A-C345EEAD06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150</xdr:row>
      <xdr:rowOff>28575</xdr:rowOff>
    </xdr:from>
    <xdr:to>
      <xdr:col>45</xdr:col>
      <xdr:colOff>28575</xdr:colOff>
      <xdr:row>152</xdr:row>
      <xdr:rowOff>152400</xdr:rowOff>
    </xdr:to>
    <xdr:grpSp>
      <xdr:nvGrpSpPr>
        <xdr:cNvPr id="92" name="Group 1277">
          <a:extLst>
            <a:ext uri="{FF2B5EF4-FFF2-40B4-BE49-F238E27FC236}">
              <a16:creationId xmlns:a16="http://schemas.microsoft.com/office/drawing/2014/main" id="{5CD91AE5-6F3C-42D9-92FF-56BF9FE8A218}"/>
            </a:ext>
          </a:extLst>
        </xdr:cNvPr>
        <xdr:cNvGrpSpPr>
          <a:grpSpLocks/>
        </xdr:cNvGrpSpPr>
      </xdr:nvGrpSpPr>
      <xdr:grpSpPr bwMode="auto">
        <a:xfrm>
          <a:off x="8851900" y="24872950"/>
          <a:ext cx="939800" cy="457200"/>
          <a:chOff x="986" y="117"/>
          <a:chExt cx="107" cy="50"/>
        </a:xfrm>
      </xdr:grpSpPr>
      <xdr:sp macro="" textlink="">
        <xdr:nvSpPr>
          <xdr:cNvPr id="93" name="Line 1278">
            <a:extLst>
              <a:ext uri="{FF2B5EF4-FFF2-40B4-BE49-F238E27FC236}">
                <a16:creationId xmlns:a16="http://schemas.microsoft.com/office/drawing/2014/main" id="{ACFF0EA6-424C-477B-AE0F-D3202A42060D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Text Box 1279">
            <a:extLst>
              <a:ext uri="{FF2B5EF4-FFF2-40B4-BE49-F238E27FC236}">
                <a16:creationId xmlns:a16="http://schemas.microsoft.com/office/drawing/2014/main" id="{8694EDD4-618C-4D0E-929B-5F86D7177C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151</xdr:row>
      <xdr:rowOff>142875</xdr:rowOff>
    </xdr:from>
    <xdr:to>
      <xdr:col>45</xdr:col>
      <xdr:colOff>171450</xdr:colOff>
      <xdr:row>154</xdr:row>
      <xdr:rowOff>95250</xdr:rowOff>
    </xdr:to>
    <xdr:grpSp>
      <xdr:nvGrpSpPr>
        <xdr:cNvPr id="95" name="Group 1280">
          <a:extLst>
            <a:ext uri="{FF2B5EF4-FFF2-40B4-BE49-F238E27FC236}">
              <a16:creationId xmlns:a16="http://schemas.microsoft.com/office/drawing/2014/main" id="{7FA797C7-B4D3-4716-8534-71B6F94A361F}"/>
            </a:ext>
          </a:extLst>
        </xdr:cNvPr>
        <xdr:cNvGrpSpPr>
          <a:grpSpLocks/>
        </xdr:cNvGrpSpPr>
      </xdr:nvGrpSpPr>
      <xdr:grpSpPr bwMode="auto">
        <a:xfrm>
          <a:off x="9172575" y="25146000"/>
          <a:ext cx="762000" cy="476250"/>
          <a:chOff x="1148" y="209"/>
          <a:chExt cx="95" cy="52"/>
        </a:xfrm>
      </xdr:grpSpPr>
      <xdr:sp macro="" textlink="">
        <xdr:nvSpPr>
          <xdr:cNvPr id="96" name="Line 1281">
            <a:extLst>
              <a:ext uri="{FF2B5EF4-FFF2-40B4-BE49-F238E27FC236}">
                <a16:creationId xmlns:a16="http://schemas.microsoft.com/office/drawing/2014/main" id="{AD9749C3-5771-4F3E-B48A-B913CB5D14A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Text Box 1282">
            <a:extLst>
              <a:ext uri="{FF2B5EF4-FFF2-40B4-BE49-F238E27FC236}">
                <a16:creationId xmlns:a16="http://schemas.microsoft.com/office/drawing/2014/main" id="{807AB879-10A2-43BB-868B-ADBC9FFD90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150</xdr:row>
      <xdr:rowOff>28575</xdr:rowOff>
    </xdr:from>
    <xdr:to>
      <xdr:col>62</xdr:col>
      <xdr:colOff>28575</xdr:colOff>
      <xdr:row>152</xdr:row>
      <xdr:rowOff>152400</xdr:rowOff>
    </xdr:to>
    <xdr:grpSp>
      <xdr:nvGrpSpPr>
        <xdr:cNvPr id="98" name="Group 1283">
          <a:extLst>
            <a:ext uri="{FF2B5EF4-FFF2-40B4-BE49-F238E27FC236}">
              <a16:creationId xmlns:a16="http://schemas.microsoft.com/office/drawing/2014/main" id="{F98BBC9B-393F-4A11-A081-D68D870AC3CB}"/>
            </a:ext>
          </a:extLst>
        </xdr:cNvPr>
        <xdr:cNvGrpSpPr>
          <a:grpSpLocks/>
        </xdr:cNvGrpSpPr>
      </xdr:nvGrpSpPr>
      <xdr:grpSpPr bwMode="auto">
        <a:xfrm>
          <a:off x="12630150" y="24872950"/>
          <a:ext cx="939800" cy="457200"/>
          <a:chOff x="986" y="117"/>
          <a:chExt cx="107" cy="50"/>
        </a:xfrm>
      </xdr:grpSpPr>
      <xdr:sp macro="" textlink="">
        <xdr:nvSpPr>
          <xdr:cNvPr id="99" name="Line 1284">
            <a:extLst>
              <a:ext uri="{FF2B5EF4-FFF2-40B4-BE49-F238E27FC236}">
                <a16:creationId xmlns:a16="http://schemas.microsoft.com/office/drawing/2014/main" id="{E44C3FC6-B370-458F-B973-1678003FD14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Text Box 1285">
            <a:extLst>
              <a:ext uri="{FF2B5EF4-FFF2-40B4-BE49-F238E27FC236}">
                <a16:creationId xmlns:a16="http://schemas.microsoft.com/office/drawing/2014/main" id="{C4C8F876-0FC5-4F47-B267-B35328172A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151</xdr:row>
      <xdr:rowOff>142875</xdr:rowOff>
    </xdr:from>
    <xdr:to>
      <xdr:col>62</xdr:col>
      <xdr:colOff>171450</xdr:colOff>
      <xdr:row>154</xdr:row>
      <xdr:rowOff>95250</xdr:rowOff>
    </xdr:to>
    <xdr:grpSp>
      <xdr:nvGrpSpPr>
        <xdr:cNvPr id="101" name="Group 1286">
          <a:extLst>
            <a:ext uri="{FF2B5EF4-FFF2-40B4-BE49-F238E27FC236}">
              <a16:creationId xmlns:a16="http://schemas.microsoft.com/office/drawing/2014/main" id="{77B160DC-AA31-4F45-860A-B82A5710CAD4}"/>
            </a:ext>
          </a:extLst>
        </xdr:cNvPr>
        <xdr:cNvGrpSpPr>
          <a:grpSpLocks/>
        </xdr:cNvGrpSpPr>
      </xdr:nvGrpSpPr>
      <xdr:grpSpPr bwMode="auto">
        <a:xfrm>
          <a:off x="12950825" y="25146000"/>
          <a:ext cx="762000" cy="476250"/>
          <a:chOff x="1148" y="209"/>
          <a:chExt cx="95" cy="52"/>
        </a:xfrm>
      </xdr:grpSpPr>
      <xdr:sp macro="" textlink="">
        <xdr:nvSpPr>
          <xdr:cNvPr id="102" name="Line 1287">
            <a:extLst>
              <a:ext uri="{FF2B5EF4-FFF2-40B4-BE49-F238E27FC236}">
                <a16:creationId xmlns:a16="http://schemas.microsoft.com/office/drawing/2014/main" id="{E1D25E70-6484-4548-BC35-7CFD0B16976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Text Box 1288">
            <a:extLst>
              <a:ext uri="{FF2B5EF4-FFF2-40B4-BE49-F238E27FC236}">
                <a16:creationId xmlns:a16="http://schemas.microsoft.com/office/drawing/2014/main" id="{22C589B6-1662-48FF-A5CA-DAEE31C5F4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168</xdr:row>
      <xdr:rowOff>28575</xdr:rowOff>
    </xdr:from>
    <xdr:to>
      <xdr:col>45</xdr:col>
      <xdr:colOff>28575</xdr:colOff>
      <xdr:row>170</xdr:row>
      <xdr:rowOff>152400</xdr:rowOff>
    </xdr:to>
    <xdr:grpSp>
      <xdr:nvGrpSpPr>
        <xdr:cNvPr id="104" name="Group 1289">
          <a:extLst>
            <a:ext uri="{FF2B5EF4-FFF2-40B4-BE49-F238E27FC236}">
              <a16:creationId xmlns:a16="http://schemas.microsoft.com/office/drawing/2014/main" id="{47FA7225-4FC9-43F1-8EEB-E0867A9859E2}"/>
            </a:ext>
          </a:extLst>
        </xdr:cNvPr>
        <xdr:cNvGrpSpPr>
          <a:grpSpLocks/>
        </xdr:cNvGrpSpPr>
      </xdr:nvGrpSpPr>
      <xdr:grpSpPr bwMode="auto">
        <a:xfrm>
          <a:off x="8851900" y="27873325"/>
          <a:ext cx="939800" cy="457200"/>
          <a:chOff x="986" y="117"/>
          <a:chExt cx="107" cy="50"/>
        </a:xfrm>
      </xdr:grpSpPr>
      <xdr:sp macro="" textlink="">
        <xdr:nvSpPr>
          <xdr:cNvPr id="105" name="Line 1290">
            <a:extLst>
              <a:ext uri="{FF2B5EF4-FFF2-40B4-BE49-F238E27FC236}">
                <a16:creationId xmlns:a16="http://schemas.microsoft.com/office/drawing/2014/main" id="{D9C53CA4-9530-4A85-93E7-F773A6C5A132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Text Box 1291">
            <a:extLst>
              <a:ext uri="{FF2B5EF4-FFF2-40B4-BE49-F238E27FC236}">
                <a16:creationId xmlns:a16="http://schemas.microsoft.com/office/drawing/2014/main" id="{0FDC110B-BAA7-427D-8F9C-2381B1A64F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169</xdr:row>
      <xdr:rowOff>142875</xdr:rowOff>
    </xdr:from>
    <xdr:to>
      <xdr:col>45</xdr:col>
      <xdr:colOff>171450</xdr:colOff>
      <xdr:row>172</xdr:row>
      <xdr:rowOff>95250</xdr:rowOff>
    </xdr:to>
    <xdr:grpSp>
      <xdr:nvGrpSpPr>
        <xdr:cNvPr id="107" name="Group 1292">
          <a:extLst>
            <a:ext uri="{FF2B5EF4-FFF2-40B4-BE49-F238E27FC236}">
              <a16:creationId xmlns:a16="http://schemas.microsoft.com/office/drawing/2014/main" id="{636A96A5-75A6-4D0B-AB67-7230083A8D88}"/>
            </a:ext>
          </a:extLst>
        </xdr:cNvPr>
        <xdr:cNvGrpSpPr>
          <a:grpSpLocks/>
        </xdr:cNvGrpSpPr>
      </xdr:nvGrpSpPr>
      <xdr:grpSpPr bwMode="auto">
        <a:xfrm>
          <a:off x="9172575" y="28146375"/>
          <a:ext cx="762000" cy="476250"/>
          <a:chOff x="1148" y="209"/>
          <a:chExt cx="95" cy="52"/>
        </a:xfrm>
      </xdr:grpSpPr>
      <xdr:sp macro="" textlink="">
        <xdr:nvSpPr>
          <xdr:cNvPr id="108" name="Line 1293">
            <a:extLst>
              <a:ext uri="{FF2B5EF4-FFF2-40B4-BE49-F238E27FC236}">
                <a16:creationId xmlns:a16="http://schemas.microsoft.com/office/drawing/2014/main" id="{A11C84BE-FEAB-4057-B068-8FDDF18D660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Box 1294">
            <a:extLst>
              <a:ext uri="{FF2B5EF4-FFF2-40B4-BE49-F238E27FC236}">
                <a16:creationId xmlns:a16="http://schemas.microsoft.com/office/drawing/2014/main" id="{DD143020-2005-443C-A4CA-89364B5941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168</xdr:row>
      <xdr:rowOff>28575</xdr:rowOff>
    </xdr:from>
    <xdr:to>
      <xdr:col>62</xdr:col>
      <xdr:colOff>28575</xdr:colOff>
      <xdr:row>170</xdr:row>
      <xdr:rowOff>152400</xdr:rowOff>
    </xdr:to>
    <xdr:grpSp>
      <xdr:nvGrpSpPr>
        <xdr:cNvPr id="110" name="Group 1295">
          <a:extLst>
            <a:ext uri="{FF2B5EF4-FFF2-40B4-BE49-F238E27FC236}">
              <a16:creationId xmlns:a16="http://schemas.microsoft.com/office/drawing/2014/main" id="{FE0E3846-C97E-47D7-AEC2-747CBB155359}"/>
            </a:ext>
          </a:extLst>
        </xdr:cNvPr>
        <xdr:cNvGrpSpPr>
          <a:grpSpLocks/>
        </xdr:cNvGrpSpPr>
      </xdr:nvGrpSpPr>
      <xdr:grpSpPr bwMode="auto">
        <a:xfrm>
          <a:off x="12630150" y="27873325"/>
          <a:ext cx="939800" cy="457200"/>
          <a:chOff x="986" y="117"/>
          <a:chExt cx="107" cy="50"/>
        </a:xfrm>
      </xdr:grpSpPr>
      <xdr:sp macro="" textlink="">
        <xdr:nvSpPr>
          <xdr:cNvPr id="111" name="Line 1296">
            <a:extLst>
              <a:ext uri="{FF2B5EF4-FFF2-40B4-BE49-F238E27FC236}">
                <a16:creationId xmlns:a16="http://schemas.microsoft.com/office/drawing/2014/main" id="{C48F1EBB-EE02-44EE-A355-2E50CD450D3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ext Box 1297">
            <a:extLst>
              <a:ext uri="{FF2B5EF4-FFF2-40B4-BE49-F238E27FC236}">
                <a16:creationId xmlns:a16="http://schemas.microsoft.com/office/drawing/2014/main" id="{CD1B345B-AFC3-4CEE-80C9-E133EC15EB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169</xdr:row>
      <xdr:rowOff>142875</xdr:rowOff>
    </xdr:from>
    <xdr:to>
      <xdr:col>62</xdr:col>
      <xdr:colOff>171450</xdr:colOff>
      <xdr:row>172</xdr:row>
      <xdr:rowOff>95250</xdr:rowOff>
    </xdr:to>
    <xdr:grpSp>
      <xdr:nvGrpSpPr>
        <xdr:cNvPr id="113" name="Group 1298">
          <a:extLst>
            <a:ext uri="{FF2B5EF4-FFF2-40B4-BE49-F238E27FC236}">
              <a16:creationId xmlns:a16="http://schemas.microsoft.com/office/drawing/2014/main" id="{79069521-662A-4363-8BC4-B40011C9FA1D}"/>
            </a:ext>
          </a:extLst>
        </xdr:cNvPr>
        <xdr:cNvGrpSpPr>
          <a:grpSpLocks/>
        </xdr:cNvGrpSpPr>
      </xdr:nvGrpSpPr>
      <xdr:grpSpPr bwMode="auto">
        <a:xfrm>
          <a:off x="12950825" y="28146375"/>
          <a:ext cx="762000" cy="476250"/>
          <a:chOff x="1148" y="209"/>
          <a:chExt cx="95" cy="52"/>
        </a:xfrm>
      </xdr:grpSpPr>
      <xdr:sp macro="" textlink="">
        <xdr:nvSpPr>
          <xdr:cNvPr id="114" name="Line 1299">
            <a:extLst>
              <a:ext uri="{FF2B5EF4-FFF2-40B4-BE49-F238E27FC236}">
                <a16:creationId xmlns:a16="http://schemas.microsoft.com/office/drawing/2014/main" id="{FB644FDC-C388-42AF-A4DF-95BE15E04B9E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Text Box 1300">
            <a:extLst>
              <a:ext uri="{FF2B5EF4-FFF2-40B4-BE49-F238E27FC236}">
                <a16:creationId xmlns:a16="http://schemas.microsoft.com/office/drawing/2014/main" id="{90AA8E36-5EAA-4F2C-A267-43B79509F8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194</xdr:row>
      <xdr:rowOff>28575</xdr:rowOff>
    </xdr:from>
    <xdr:to>
      <xdr:col>45</xdr:col>
      <xdr:colOff>28575</xdr:colOff>
      <xdr:row>196</xdr:row>
      <xdr:rowOff>152400</xdr:rowOff>
    </xdr:to>
    <xdr:grpSp>
      <xdr:nvGrpSpPr>
        <xdr:cNvPr id="116" name="Group 1301">
          <a:extLst>
            <a:ext uri="{FF2B5EF4-FFF2-40B4-BE49-F238E27FC236}">
              <a16:creationId xmlns:a16="http://schemas.microsoft.com/office/drawing/2014/main" id="{672E34B0-E345-4F39-95B8-8D7AA48DBCDE}"/>
            </a:ext>
          </a:extLst>
        </xdr:cNvPr>
        <xdr:cNvGrpSpPr>
          <a:grpSpLocks/>
        </xdr:cNvGrpSpPr>
      </xdr:nvGrpSpPr>
      <xdr:grpSpPr bwMode="auto">
        <a:xfrm>
          <a:off x="8851900" y="32096075"/>
          <a:ext cx="939800" cy="520700"/>
          <a:chOff x="986" y="117"/>
          <a:chExt cx="107" cy="50"/>
        </a:xfrm>
      </xdr:grpSpPr>
      <xdr:sp macro="" textlink="">
        <xdr:nvSpPr>
          <xdr:cNvPr id="117" name="Line 1302">
            <a:extLst>
              <a:ext uri="{FF2B5EF4-FFF2-40B4-BE49-F238E27FC236}">
                <a16:creationId xmlns:a16="http://schemas.microsoft.com/office/drawing/2014/main" id="{D6ADC367-CEDD-4D01-BEE8-F8FC2A370E5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Text Box 1303">
            <a:extLst>
              <a:ext uri="{FF2B5EF4-FFF2-40B4-BE49-F238E27FC236}">
                <a16:creationId xmlns:a16="http://schemas.microsoft.com/office/drawing/2014/main" id="{89B40B4B-10A5-4663-867B-C3D9906C726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195</xdr:row>
      <xdr:rowOff>142875</xdr:rowOff>
    </xdr:from>
    <xdr:to>
      <xdr:col>45</xdr:col>
      <xdr:colOff>171450</xdr:colOff>
      <xdr:row>198</xdr:row>
      <xdr:rowOff>95250</xdr:rowOff>
    </xdr:to>
    <xdr:grpSp>
      <xdr:nvGrpSpPr>
        <xdr:cNvPr id="119" name="Group 1304">
          <a:extLst>
            <a:ext uri="{FF2B5EF4-FFF2-40B4-BE49-F238E27FC236}">
              <a16:creationId xmlns:a16="http://schemas.microsoft.com/office/drawing/2014/main" id="{B293E6C6-3087-4CEA-A0FA-EDAE13FBA1D2}"/>
            </a:ext>
          </a:extLst>
        </xdr:cNvPr>
        <xdr:cNvGrpSpPr>
          <a:grpSpLocks/>
        </xdr:cNvGrpSpPr>
      </xdr:nvGrpSpPr>
      <xdr:grpSpPr bwMode="auto">
        <a:xfrm>
          <a:off x="9172575" y="32432625"/>
          <a:ext cx="762000" cy="476250"/>
          <a:chOff x="1148" y="209"/>
          <a:chExt cx="95" cy="52"/>
        </a:xfrm>
      </xdr:grpSpPr>
      <xdr:sp macro="" textlink="">
        <xdr:nvSpPr>
          <xdr:cNvPr id="120" name="Line 1305">
            <a:extLst>
              <a:ext uri="{FF2B5EF4-FFF2-40B4-BE49-F238E27FC236}">
                <a16:creationId xmlns:a16="http://schemas.microsoft.com/office/drawing/2014/main" id="{6A75E69D-F46F-4A7A-A1B8-D44C42DC8AC5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Text Box 1306">
            <a:extLst>
              <a:ext uri="{FF2B5EF4-FFF2-40B4-BE49-F238E27FC236}">
                <a16:creationId xmlns:a16="http://schemas.microsoft.com/office/drawing/2014/main" id="{F89740A2-36D6-4715-99D2-67480BCFA48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194</xdr:row>
      <xdr:rowOff>28575</xdr:rowOff>
    </xdr:from>
    <xdr:to>
      <xdr:col>62</xdr:col>
      <xdr:colOff>28575</xdr:colOff>
      <xdr:row>196</xdr:row>
      <xdr:rowOff>152400</xdr:rowOff>
    </xdr:to>
    <xdr:grpSp>
      <xdr:nvGrpSpPr>
        <xdr:cNvPr id="122" name="Group 1307">
          <a:extLst>
            <a:ext uri="{FF2B5EF4-FFF2-40B4-BE49-F238E27FC236}">
              <a16:creationId xmlns:a16="http://schemas.microsoft.com/office/drawing/2014/main" id="{9A66AEDA-B73A-4693-9834-1D1170C048A4}"/>
            </a:ext>
          </a:extLst>
        </xdr:cNvPr>
        <xdr:cNvGrpSpPr>
          <a:grpSpLocks/>
        </xdr:cNvGrpSpPr>
      </xdr:nvGrpSpPr>
      <xdr:grpSpPr bwMode="auto">
        <a:xfrm>
          <a:off x="12630150" y="32096075"/>
          <a:ext cx="939800" cy="520700"/>
          <a:chOff x="986" y="117"/>
          <a:chExt cx="107" cy="50"/>
        </a:xfrm>
      </xdr:grpSpPr>
      <xdr:sp macro="" textlink="">
        <xdr:nvSpPr>
          <xdr:cNvPr id="123" name="Line 1308">
            <a:extLst>
              <a:ext uri="{FF2B5EF4-FFF2-40B4-BE49-F238E27FC236}">
                <a16:creationId xmlns:a16="http://schemas.microsoft.com/office/drawing/2014/main" id="{217E999B-8D01-48DE-8AF5-0ED629A26CFF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Text Box 1309">
            <a:extLst>
              <a:ext uri="{FF2B5EF4-FFF2-40B4-BE49-F238E27FC236}">
                <a16:creationId xmlns:a16="http://schemas.microsoft.com/office/drawing/2014/main" id="{79EDDC05-8E96-445E-BA75-9FE58D8492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195</xdr:row>
      <xdr:rowOff>142875</xdr:rowOff>
    </xdr:from>
    <xdr:to>
      <xdr:col>62</xdr:col>
      <xdr:colOff>171450</xdr:colOff>
      <xdr:row>198</xdr:row>
      <xdr:rowOff>95250</xdr:rowOff>
    </xdr:to>
    <xdr:grpSp>
      <xdr:nvGrpSpPr>
        <xdr:cNvPr id="125" name="Group 1310">
          <a:extLst>
            <a:ext uri="{FF2B5EF4-FFF2-40B4-BE49-F238E27FC236}">
              <a16:creationId xmlns:a16="http://schemas.microsoft.com/office/drawing/2014/main" id="{38C5F5A0-26F2-41F1-84A7-2C77D3207DB5}"/>
            </a:ext>
          </a:extLst>
        </xdr:cNvPr>
        <xdr:cNvGrpSpPr>
          <a:grpSpLocks/>
        </xdr:cNvGrpSpPr>
      </xdr:nvGrpSpPr>
      <xdr:grpSpPr bwMode="auto">
        <a:xfrm>
          <a:off x="12950825" y="32432625"/>
          <a:ext cx="762000" cy="476250"/>
          <a:chOff x="1148" y="209"/>
          <a:chExt cx="95" cy="52"/>
        </a:xfrm>
      </xdr:grpSpPr>
      <xdr:sp macro="" textlink="">
        <xdr:nvSpPr>
          <xdr:cNvPr id="126" name="Line 1311">
            <a:extLst>
              <a:ext uri="{FF2B5EF4-FFF2-40B4-BE49-F238E27FC236}">
                <a16:creationId xmlns:a16="http://schemas.microsoft.com/office/drawing/2014/main" id="{71AB024D-74EE-4102-89CF-837ACFA88452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Text Box 1312">
            <a:extLst>
              <a:ext uri="{FF2B5EF4-FFF2-40B4-BE49-F238E27FC236}">
                <a16:creationId xmlns:a16="http://schemas.microsoft.com/office/drawing/2014/main" id="{EDD2E18A-49AD-4F9C-93C3-D59C2906E8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212</xdr:row>
      <xdr:rowOff>28575</xdr:rowOff>
    </xdr:from>
    <xdr:to>
      <xdr:col>45</xdr:col>
      <xdr:colOff>28575</xdr:colOff>
      <xdr:row>214</xdr:row>
      <xdr:rowOff>152400</xdr:rowOff>
    </xdr:to>
    <xdr:grpSp>
      <xdr:nvGrpSpPr>
        <xdr:cNvPr id="128" name="Group 1313">
          <a:extLst>
            <a:ext uri="{FF2B5EF4-FFF2-40B4-BE49-F238E27FC236}">
              <a16:creationId xmlns:a16="http://schemas.microsoft.com/office/drawing/2014/main" id="{39E371C2-5333-490E-BB05-2F55798B468A}"/>
            </a:ext>
          </a:extLst>
        </xdr:cNvPr>
        <xdr:cNvGrpSpPr>
          <a:grpSpLocks/>
        </xdr:cNvGrpSpPr>
      </xdr:nvGrpSpPr>
      <xdr:grpSpPr bwMode="auto">
        <a:xfrm>
          <a:off x="8851900" y="35159950"/>
          <a:ext cx="939800" cy="457200"/>
          <a:chOff x="986" y="117"/>
          <a:chExt cx="107" cy="50"/>
        </a:xfrm>
      </xdr:grpSpPr>
      <xdr:sp macro="" textlink="">
        <xdr:nvSpPr>
          <xdr:cNvPr id="129" name="Line 1314">
            <a:extLst>
              <a:ext uri="{FF2B5EF4-FFF2-40B4-BE49-F238E27FC236}">
                <a16:creationId xmlns:a16="http://schemas.microsoft.com/office/drawing/2014/main" id="{BC180D0F-7ED3-4E0E-B0B6-68CE032292B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Text Box 1315">
            <a:extLst>
              <a:ext uri="{FF2B5EF4-FFF2-40B4-BE49-F238E27FC236}">
                <a16:creationId xmlns:a16="http://schemas.microsoft.com/office/drawing/2014/main" id="{B5F87ED6-60A0-4497-BC36-74E0A614B1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213</xdr:row>
      <xdr:rowOff>142875</xdr:rowOff>
    </xdr:from>
    <xdr:to>
      <xdr:col>45</xdr:col>
      <xdr:colOff>171450</xdr:colOff>
      <xdr:row>216</xdr:row>
      <xdr:rowOff>95250</xdr:rowOff>
    </xdr:to>
    <xdr:grpSp>
      <xdr:nvGrpSpPr>
        <xdr:cNvPr id="131" name="Group 1316">
          <a:extLst>
            <a:ext uri="{FF2B5EF4-FFF2-40B4-BE49-F238E27FC236}">
              <a16:creationId xmlns:a16="http://schemas.microsoft.com/office/drawing/2014/main" id="{B6691FAC-7A84-4561-A95B-FD5A19DE29C0}"/>
            </a:ext>
          </a:extLst>
        </xdr:cNvPr>
        <xdr:cNvGrpSpPr>
          <a:grpSpLocks/>
        </xdr:cNvGrpSpPr>
      </xdr:nvGrpSpPr>
      <xdr:grpSpPr bwMode="auto">
        <a:xfrm>
          <a:off x="9172575" y="35433000"/>
          <a:ext cx="762000" cy="476250"/>
          <a:chOff x="1148" y="209"/>
          <a:chExt cx="95" cy="52"/>
        </a:xfrm>
      </xdr:grpSpPr>
      <xdr:sp macro="" textlink="">
        <xdr:nvSpPr>
          <xdr:cNvPr id="132" name="Line 1317">
            <a:extLst>
              <a:ext uri="{FF2B5EF4-FFF2-40B4-BE49-F238E27FC236}">
                <a16:creationId xmlns:a16="http://schemas.microsoft.com/office/drawing/2014/main" id="{8C06AE30-4DE9-430F-82A7-28547F25260F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Text Box 1318">
            <a:extLst>
              <a:ext uri="{FF2B5EF4-FFF2-40B4-BE49-F238E27FC236}">
                <a16:creationId xmlns:a16="http://schemas.microsoft.com/office/drawing/2014/main" id="{A5817D15-E0EE-46BA-BB33-4FFFB8F2C5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212</xdr:row>
      <xdr:rowOff>28575</xdr:rowOff>
    </xdr:from>
    <xdr:to>
      <xdr:col>62</xdr:col>
      <xdr:colOff>28575</xdr:colOff>
      <xdr:row>214</xdr:row>
      <xdr:rowOff>152400</xdr:rowOff>
    </xdr:to>
    <xdr:grpSp>
      <xdr:nvGrpSpPr>
        <xdr:cNvPr id="134" name="Group 1319">
          <a:extLst>
            <a:ext uri="{FF2B5EF4-FFF2-40B4-BE49-F238E27FC236}">
              <a16:creationId xmlns:a16="http://schemas.microsoft.com/office/drawing/2014/main" id="{22F31B75-CAB9-433B-B85C-CA82B8643C7D}"/>
            </a:ext>
          </a:extLst>
        </xdr:cNvPr>
        <xdr:cNvGrpSpPr>
          <a:grpSpLocks/>
        </xdr:cNvGrpSpPr>
      </xdr:nvGrpSpPr>
      <xdr:grpSpPr bwMode="auto">
        <a:xfrm>
          <a:off x="12630150" y="35159950"/>
          <a:ext cx="939800" cy="457200"/>
          <a:chOff x="986" y="117"/>
          <a:chExt cx="107" cy="50"/>
        </a:xfrm>
      </xdr:grpSpPr>
      <xdr:sp macro="" textlink="">
        <xdr:nvSpPr>
          <xdr:cNvPr id="135" name="Line 1320">
            <a:extLst>
              <a:ext uri="{FF2B5EF4-FFF2-40B4-BE49-F238E27FC236}">
                <a16:creationId xmlns:a16="http://schemas.microsoft.com/office/drawing/2014/main" id="{31C2ED0C-75BC-4946-A27C-8C2BCB2B8C5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Text Box 1321">
            <a:extLst>
              <a:ext uri="{FF2B5EF4-FFF2-40B4-BE49-F238E27FC236}">
                <a16:creationId xmlns:a16="http://schemas.microsoft.com/office/drawing/2014/main" id="{0BDA6EA3-2A87-4231-9D9E-54DE91C16C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213</xdr:row>
      <xdr:rowOff>142875</xdr:rowOff>
    </xdr:from>
    <xdr:to>
      <xdr:col>62</xdr:col>
      <xdr:colOff>171450</xdr:colOff>
      <xdr:row>216</xdr:row>
      <xdr:rowOff>95250</xdr:rowOff>
    </xdr:to>
    <xdr:grpSp>
      <xdr:nvGrpSpPr>
        <xdr:cNvPr id="137" name="Group 1322">
          <a:extLst>
            <a:ext uri="{FF2B5EF4-FFF2-40B4-BE49-F238E27FC236}">
              <a16:creationId xmlns:a16="http://schemas.microsoft.com/office/drawing/2014/main" id="{7C0B6022-21E4-4B78-BE26-6D9DF1E0EF3C}"/>
            </a:ext>
          </a:extLst>
        </xdr:cNvPr>
        <xdr:cNvGrpSpPr>
          <a:grpSpLocks/>
        </xdr:cNvGrpSpPr>
      </xdr:nvGrpSpPr>
      <xdr:grpSpPr bwMode="auto">
        <a:xfrm>
          <a:off x="12950825" y="35433000"/>
          <a:ext cx="762000" cy="476250"/>
          <a:chOff x="1148" y="209"/>
          <a:chExt cx="95" cy="52"/>
        </a:xfrm>
      </xdr:grpSpPr>
      <xdr:sp macro="" textlink="">
        <xdr:nvSpPr>
          <xdr:cNvPr id="138" name="Line 1323">
            <a:extLst>
              <a:ext uri="{FF2B5EF4-FFF2-40B4-BE49-F238E27FC236}">
                <a16:creationId xmlns:a16="http://schemas.microsoft.com/office/drawing/2014/main" id="{C5D0D467-1E3F-4383-943F-581D22C23BDD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Text Box 1324">
            <a:extLst>
              <a:ext uri="{FF2B5EF4-FFF2-40B4-BE49-F238E27FC236}">
                <a16:creationId xmlns:a16="http://schemas.microsoft.com/office/drawing/2014/main" id="{AB53F027-1E38-42A8-BD24-76C0B40F59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230</xdr:row>
      <xdr:rowOff>28575</xdr:rowOff>
    </xdr:from>
    <xdr:to>
      <xdr:col>45</xdr:col>
      <xdr:colOff>28575</xdr:colOff>
      <xdr:row>232</xdr:row>
      <xdr:rowOff>152400</xdr:rowOff>
    </xdr:to>
    <xdr:grpSp>
      <xdr:nvGrpSpPr>
        <xdr:cNvPr id="140" name="Group 1325">
          <a:extLst>
            <a:ext uri="{FF2B5EF4-FFF2-40B4-BE49-F238E27FC236}">
              <a16:creationId xmlns:a16="http://schemas.microsoft.com/office/drawing/2014/main" id="{49A2B6ED-EF0B-48A1-8BA6-94AEAEE15487}"/>
            </a:ext>
          </a:extLst>
        </xdr:cNvPr>
        <xdr:cNvGrpSpPr>
          <a:grpSpLocks/>
        </xdr:cNvGrpSpPr>
      </xdr:nvGrpSpPr>
      <xdr:grpSpPr bwMode="auto">
        <a:xfrm>
          <a:off x="8851900" y="38160325"/>
          <a:ext cx="939800" cy="457200"/>
          <a:chOff x="986" y="117"/>
          <a:chExt cx="107" cy="50"/>
        </a:xfrm>
      </xdr:grpSpPr>
      <xdr:sp macro="" textlink="">
        <xdr:nvSpPr>
          <xdr:cNvPr id="141" name="Line 1326">
            <a:extLst>
              <a:ext uri="{FF2B5EF4-FFF2-40B4-BE49-F238E27FC236}">
                <a16:creationId xmlns:a16="http://schemas.microsoft.com/office/drawing/2014/main" id="{3EDBEF25-0174-483A-A436-6DD2BFA4BFF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Text Box 1327">
            <a:extLst>
              <a:ext uri="{FF2B5EF4-FFF2-40B4-BE49-F238E27FC236}">
                <a16:creationId xmlns:a16="http://schemas.microsoft.com/office/drawing/2014/main" id="{0EF91F8D-4622-462D-93C0-376ACFD05A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231</xdr:row>
      <xdr:rowOff>142875</xdr:rowOff>
    </xdr:from>
    <xdr:to>
      <xdr:col>45</xdr:col>
      <xdr:colOff>171450</xdr:colOff>
      <xdr:row>234</xdr:row>
      <xdr:rowOff>95250</xdr:rowOff>
    </xdr:to>
    <xdr:grpSp>
      <xdr:nvGrpSpPr>
        <xdr:cNvPr id="143" name="Group 1328">
          <a:extLst>
            <a:ext uri="{FF2B5EF4-FFF2-40B4-BE49-F238E27FC236}">
              <a16:creationId xmlns:a16="http://schemas.microsoft.com/office/drawing/2014/main" id="{48C5FF13-A06B-4346-A5BF-E8A0B3F0E8FB}"/>
            </a:ext>
          </a:extLst>
        </xdr:cNvPr>
        <xdr:cNvGrpSpPr>
          <a:grpSpLocks/>
        </xdr:cNvGrpSpPr>
      </xdr:nvGrpSpPr>
      <xdr:grpSpPr bwMode="auto">
        <a:xfrm>
          <a:off x="9172575" y="38433375"/>
          <a:ext cx="762000" cy="476250"/>
          <a:chOff x="1148" y="209"/>
          <a:chExt cx="95" cy="52"/>
        </a:xfrm>
      </xdr:grpSpPr>
      <xdr:sp macro="" textlink="">
        <xdr:nvSpPr>
          <xdr:cNvPr id="144" name="Line 1329">
            <a:extLst>
              <a:ext uri="{FF2B5EF4-FFF2-40B4-BE49-F238E27FC236}">
                <a16:creationId xmlns:a16="http://schemas.microsoft.com/office/drawing/2014/main" id="{7BE028D0-0759-497A-888B-6F58B84885D3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Text Box 1330">
            <a:extLst>
              <a:ext uri="{FF2B5EF4-FFF2-40B4-BE49-F238E27FC236}">
                <a16:creationId xmlns:a16="http://schemas.microsoft.com/office/drawing/2014/main" id="{7DF50381-8136-4801-B976-B8E240EFFD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230</xdr:row>
      <xdr:rowOff>28575</xdr:rowOff>
    </xdr:from>
    <xdr:to>
      <xdr:col>62</xdr:col>
      <xdr:colOff>28575</xdr:colOff>
      <xdr:row>232</xdr:row>
      <xdr:rowOff>152400</xdr:rowOff>
    </xdr:to>
    <xdr:grpSp>
      <xdr:nvGrpSpPr>
        <xdr:cNvPr id="146" name="Group 1331">
          <a:extLst>
            <a:ext uri="{FF2B5EF4-FFF2-40B4-BE49-F238E27FC236}">
              <a16:creationId xmlns:a16="http://schemas.microsoft.com/office/drawing/2014/main" id="{CF43220A-0820-43D6-8DC6-851EEEE46499}"/>
            </a:ext>
          </a:extLst>
        </xdr:cNvPr>
        <xdr:cNvGrpSpPr>
          <a:grpSpLocks/>
        </xdr:cNvGrpSpPr>
      </xdr:nvGrpSpPr>
      <xdr:grpSpPr bwMode="auto">
        <a:xfrm>
          <a:off x="12630150" y="38160325"/>
          <a:ext cx="939800" cy="457200"/>
          <a:chOff x="986" y="117"/>
          <a:chExt cx="107" cy="50"/>
        </a:xfrm>
      </xdr:grpSpPr>
      <xdr:sp macro="" textlink="">
        <xdr:nvSpPr>
          <xdr:cNvPr id="147" name="Line 1332">
            <a:extLst>
              <a:ext uri="{FF2B5EF4-FFF2-40B4-BE49-F238E27FC236}">
                <a16:creationId xmlns:a16="http://schemas.microsoft.com/office/drawing/2014/main" id="{099A6E03-D8A8-4C4B-B66D-BC6F45484156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Text Box 1333">
            <a:extLst>
              <a:ext uri="{FF2B5EF4-FFF2-40B4-BE49-F238E27FC236}">
                <a16:creationId xmlns:a16="http://schemas.microsoft.com/office/drawing/2014/main" id="{DB048EB9-27B3-41B3-9625-2B2178F9BC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231</xdr:row>
      <xdr:rowOff>142875</xdr:rowOff>
    </xdr:from>
    <xdr:to>
      <xdr:col>62</xdr:col>
      <xdr:colOff>171450</xdr:colOff>
      <xdr:row>234</xdr:row>
      <xdr:rowOff>95250</xdr:rowOff>
    </xdr:to>
    <xdr:grpSp>
      <xdr:nvGrpSpPr>
        <xdr:cNvPr id="149" name="Group 1334">
          <a:extLst>
            <a:ext uri="{FF2B5EF4-FFF2-40B4-BE49-F238E27FC236}">
              <a16:creationId xmlns:a16="http://schemas.microsoft.com/office/drawing/2014/main" id="{67DC4BE8-0BFF-4A9A-A158-553711F7BD97}"/>
            </a:ext>
          </a:extLst>
        </xdr:cNvPr>
        <xdr:cNvGrpSpPr>
          <a:grpSpLocks/>
        </xdr:cNvGrpSpPr>
      </xdr:nvGrpSpPr>
      <xdr:grpSpPr bwMode="auto">
        <a:xfrm>
          <a:off x="12950825" y="38433375"/>
          <a:ext cx="762000" cy="476250"/>
          <a:chOff x="1148" y="209"/>
          <a:chExt cx="95" cy="52"/>
        </a:xfrm>
      </xdr:grpSpPr>
      <xdr:sp macro="" textlink="">
        <xdr:nvSpPr>
          <xdr:cNvPr id="150" name="Line 1335">
            <a:extLst>
              <a:ext uri="{FF2B5EF4-FFF2-40B4-BE49-F238E27FC236}">
                <a16:creationId xmlns:a16="http://schemas.microsoft.com/office/drawing/2014/main" id="{659DF42A-AF8F-4C26-A768-765A0696529A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Text Box 1336">
            <a:extLst>
              <a:ext uri="{FF2B5EF4-FFF2-40B4-BE49-F238E27FC236}">
                <a16:creationId xmlns:a16="http://schemas.microsoft.com/office/drawing/2014/main" id="{BAF4F49B-BE42-4E2F-B88F-002C2C30B0A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256</xdr:row>
      <xdr:rowOff>28575</xdr:rowOff>
    </xdr:from>
    <xdr:to>
      <xdr:col>45</xdr:col>
      <xdr:colOff>28575</xdr:colOff>
      <xdr:row>258</xdr:row>
      <xdr:rowOff>152400</xdr:rowOff>
    </xdr:to>
    <xdr:grpSp>
      <xdr:nvGrpSpPr>
        <xdr:cNvPr id="152" name="Group 1337">
          <a:extLst>
            <a:ext uri="{FF2B5EF4-FFF2-40B4-BE49-F238E27FC236}">
              <a16:creationId xmlns:a16="http://schemas.microsoft.com/office/drawing/2014/main" id="{B80E9F5F-0875-466A-83FD-8DC4F3F2224A}"/>
            </a:ext>
          </a:extLst>
        </xdr:cNvPr>
        <xdr:cNvGrpSpPr>
          <a:grpSpLocks/>
        </xdr:cNvGrpSpPr>
      </xdr:nvGrpSpPr>
      <xdr:grpSpPr bwMode="auto">
        <a:xfrm>
          <a:off x="8851900" y="42383075"/>
          <a:ext cx="939800" cy="520700"/>
          <a:chOff x="986" y="117"/>
          <a:chExt cx="107" cy="50"/>
        </a:xfrm>
      </xdr:grpSpPr>
      <xdr:sp macro="" textlink="">
        <xdr:nvSpPr>
          <xdr:cNvPr id="153" name="Line 1338">
            <a:extLst>
              <a:ext uri="{FF2B5EF4-FFF2-40B4-BE49-F238E27FC236}">
                <a16:creationId xmlns:a16="http://schemas.microsoft.com/office/drawing/2014/main" id="{241BB232-216F-41D3-A626-64827E866BA6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" name="Text Box 1339">
            <a:extLst>
              <a:ext uri="{FF2B5EF4-FFF2-40B4-BE49-F238E27FC236}">
                <a16:creationId xmlns:a16="http://schemas.microsoft.com/office/drawing/2014/main" id="{6AE86C7E-C01F-424A-8434-9C431B9DE99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257</xdr:row>
      <xdr:rowOff>142875</xdr:rowOff>
    </xdr:from>
    <xdr:to>
      <xdr:col>45</xdr:col>
      <xdr:colOff>171450</xdr:colOff>
      <xdr:row>260</xdr:row>
      <xdr:rowOff>95250</xdr:rowOff>
    </xdr:to>
    <xdr:grpSp>
      <xdr:nvGrpSpPr>
        <xdr:cNvPr id="155" name="Group 1340">
          <a:extLst>
            <a:ext uri="{FF2B5EF4-FFF2-40B4-BE49-F238E27FC236}">
              <a16:creationId xmlns:a16="http://schemas.microsoft.com/office/drawing/2014/main" id="{69931561-BE83-4B43-B14C-C968AD1D4927}"/>
            </a:ext>
          </a:extLst>
        </xdr:cNvPr>
        <xdr:cNvGrpSpPr>
          <a:grpSpLocks/>
        </xdr:cNvGrpSpPr>
      </xdr:nvGrpSpPr>
      <xdr:grpSpPr bwMode="auto">
        <a:xfrm>
          <a:off x="9172575" y="42719625"/>
          <a:ext cx="762000" cy="476250"/>
          <a:chOff x="1148" y="209"/>
          <a:chExt cx="95" cy="52"/>
        </a:xfrm>
      </xdr:grpSpPr>
      <xdr:sp macro="" textlink="">
        <xdr:nvSpPr>
          <xdr:cNvPr id="156" name="Line 1341">
            <a:extLst>
              <a:ext uri="{FF2B5EF4-FFF2-40B4-BE49-F238E27FC236}">
                <a16:creationId xmlns:a16="http://schemas.microsoft.com/office/drawing/2014/main" id="{CE456C93-5CE2-4C54-B310-C5045FDE64EA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Text Box 1342">
            <a:extLst>
              <a:ext uri="{FF2B5EF4-FFF2-40B4-BE49-F238E27FC236}">
                <a16:creationId xmlns:a16="http://schemas.microsoft.com/office/drawing/2014/main" id="{2AC238F9-71DE-45C9-A5A1-045388CE4E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256</xdr:row>
      <xdr:rowOff>28575</xdr:rowOff>
    </xdr:from>
    <xdr:to>
      <xdr:col>62</xdr:col>
      <xdr:colOff>28575</xdr:colOff>
      <xdr:row>258</xdr:row>
      <xdr:rowOff>152400</xdr:rowOff>
    </xdr:to>
    <xdr:grpSp>
      <xdr:nvGrpSpPr>
        <xdr:cNvPr id="158" name="Group 1343">
          <a:extLst>
            <a:ext uri="{FF2B5EF4-FFF2-40B4-BE49-F238E27FC236}">
              <a16:creationId xmlns:a16="http://schemas.microsoft.com/office/drawing/2014/main" id="{18048651-8C72-4197-B9E3-B2F26E1A015C}"/>
            </a:ext>
          </a:extLst>
        </xdr:cNvPr>
        <xdr:cNvGrpSpPr>
          <a:grpSpLocks/>
        </xdr:cNvGrpSpPr>
      </xdr:nvGrpSpPr>
      <xdr:grpSpPr bwMode="auto">
        <a:xfrm>
          <a:off x="12630150" y="42383075"/>
          <a:ext cx="939800" cy="520700"/>
          <a:chOff x="986" y="117"/>
          <a:chExt cx="107" cy="50"/>
        </a:xfrm>
      </xdr:grpSpPr>
      <xdr:sp macro="" textlink="">
        <xdr:nvSpPr>
          <xdr:cNvPr id="159" name="Line 1344">
            <a:extLst>
              <a:ext uri="{FF2B5EF4-FFF2-40B4-BE49-F238E27FC236}">
                <a16:creationId xmlns:a16="http://schemas.microsoft.com/office/drawing/2014/main" id="{2A35A53D-59DC-4FF5-8547-FE69ED8A499B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345">
            <a:extLst>
              <a:ext uri="{FF2B5EF4-FFF2-40B4-BE49-F238E27FC236}">
                <a16:creationId xmlns:a16="http://schemas.microsoft.com/office/drawing/2014/main" id="{D797785D-3221-481A-AE3C-F99C95A5A1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257</xdr:row>
      <xdr:rowOff>142875</xdr:rowOff>
    </xdr:from>
    <xdr:to>
      <xdr:col>62</xdr:col>
      <xdr:colOff>171450</xdr:colOff>
      <xdr:row>260</xdr:row>
      <xdr:rowOff>95250</xdr:rowOff>
    </xdr:to>
    <xdr:grpSp>
      <xdr:nvGrpSpPr>
        <xdr:cNvPr id="161" name="Group 1346">
          <a:extLst>
            <a:ext uri="{FF2B5EF4-FFF2-40B4-BE49-F238E27FC236}">
              <a16:creationId xmlns:a16="http://schemas.microsoft.com/office/drawing/2014/main" id="{ACF70F2F-F539-43C6-81BC-08DC0BA2E517}"/>
            </a:ext>
          </a:extLst>
        </xdr:cNvPr>
        <xdr:cNvGrpSpPr>
          <a:grpSpLocks/>
        </xdr:cNvGrpSpPr>
      </xdr:nvGrpSpPr>
      <xdr:grpSpPr bwMode="auto">
        <a:xfrm>
          <a:off x="12950825" y="42719625"/>
          <a:ext cx="762000" cy="476250"/>
          <a:chOff x="1148" y="209"/>
          <a:chExt cx="95" cy="52"/>
        </a:xfrm>
      </xdr:grpSpPr>
      <xdr:sp macro="" textlink="">
        <xdr:nvSpPr>
          <xdr:cNvPr id="162" name="Line 1347">
            <a:extLst>
              <a:ext uri="{FF2B5EF4-FFF2-40B4-BE49-F238E27FC236}">
                <a16:creationId xmlns:a16="http://schemas.microsoft.com/office/drawing/2014/main" id="{977DCAA3-6D36-4416-95BC-77596DA4105A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Text Box 1348">
            <a:extLst>
              <a:ext uri="{FF2B5EF4-FFF2-40B4-BE49-F238E27FC236}">
                <a16:creationId xmlns:a16="http://schemas.microsoft.com/office/drawing/2014/main" id="{F96DED05-5CD6-44E9-BCAA-48F29AE08B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274</xdr:row>
      <xdr:rowOff>28575</xdr:rowOff>
    </xdr:from>
    <xdr:to>
      <xdr:col>45</xdr:col>
      <xdr:colOff>28575</xdr:colOff>
      <xdr:row>276</xdr:row>
      <xdr:rowOff>152400</xdr:rowOff>
    </xdr:to>
    <xdr:grpSp>
      <xdr:nvGrpSpPr>
        <xdr:cNvPr id="164" name="Group 1349">
          <a:extLst>
            <a:ext uri="{FF2B5EF4-FFF2-40B4-BE49-F238E27FC236}">
              <a16:creationId xmlns:a16="http://schemas.microsoft.com/office/drawing/2014/main" id="{55841005-ACC2-4F81-9497-E4018F49E6BF}"/>
            </a:ext>
          </a:extLst>
        </xdr:cNvPr>
        <xdr:cNvGrpSpPr>
          <a:grpSpLocks/>
        </xdr:cNvGrpSpPr>
      </xdr:nvGrpSpPr>
      <xdr:grpSpPr bwMode="auto">
        <a:xfrm>
          <a:off x="8851900" y="45446950"/>
          <a:ext cx="939800" cy="457200"/>
          <a:chOff x="986" y="117"/>
          <a:chExt cx="107" cy="50"/>
        </a:xfrm>
      </xdr:grpSpPr>
      <xdr:sp macro="" textlink="">
        <xdr:nvSpPr>
          <xdr:cNvPr id="165" name="Line 1350">
            <a:extLst>
              <a:ext uri="{FF2B5EF4-FFF2-40B4-BE49-F238E27FC236}">
                <a16:creationId xmlns:a16="http://schemas.microsoft.com/office/drawing/2014/main" id="{B267DF27-FE86-4300-BCE2-D2079B123E72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Text Box 1351">
            <a:extLst>
              <a:ext uri="{FF2B5EF4-FFF2-40B4-BE49-F238E27FC236}">
                <a16:creationId xmlns:a16="http://schemas.microsoft.com/office/drawing/2014/main" id="{8DD5298D-3F56-418C-B265-F43E80866DF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275</xdr:row>
      <xdr:rowOff>142875</xdr:rowOff>
    </xdr:from>
    <xdr:to>
      <xdr:col>45</xdr:col>
      <xdr:colOff>171450</xdr:colOff>
      <xdr:row>278</xdr:row>
      <xdr:rowOff>95250</xdr:rowOff>
    </xdr:to>
    <xdr:grpSp>
      <xdr:nvGrpSpPr>
        <xdr:cNvPr id="167" name="Group 1352">
          <a:extLst>
            <a:ext uri="{FF2B5EF4-FFF2-40B4-BE49-F238E27FC236}">
              <a16:creationId xmlns:a16="http://schemas.microsoft.com/office/drawing/2014/main" id="{0AE68283-2FE6-4371-BEE8-2E7463609692}"/>
            </a:ext>
          </a:extLst>
        </xdr:cNvPr>
        <xdr:cNvGrpSpPr>
          <a:grpSpLocks/>
        </xdr:cNvGrpSpPr>
      </xdr:nvGrpSpPr>
      <xdr:grpSpPr bwMode="auto">
        <a:xfrm>
          <a:off x="9172575" y="45720000"/>
          <a:ext cx="762000" cy="476250"/>
          <a:chOff x="1148" y="209"/>
          <a:chExt cx="95" cy="52"/>
        </a:xfrm>
      </xdr:grpSpPr>
      <xdr:sp macro="" textlink="">
        <xdr:nvSpPr>
          <xdr:cNvPr id="168" name="Line 1353">
            <a:extLst>
              <a:ext uri="{FF2B5EF4-FFF2-40B4-BE49-F238E27FC236}">
                <a16:creationId xmlns:a16="http://schemas.microsoft.com/office/drawing/2014/main" id="{9F05DFA5-5792-4EC9-87F3-D4A7910742B8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Text Box 1354">
            <a:extLst>
              <a:ext uri="{FF2B5EF4-FFF2-40B4-BE49-F238E27FC236}">
                <a16:creationId xmlns:a16="http://schemas.microsoft.com/office/drawing/2014/main" id="{2F73F74F-AA6B-4C2A-BC11-2BE8395281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274</xdr:row>
      <xdr:rowOff>28575</xdr:rowOff>
    </xdr:from>
    <xdr:to>
      <xdr:col>62</xdr:col>
      <xdr:colOff>28575</xdr:colOff>
      <xdr:row>276</xdr:row>
      <xdr:rowOff>152400</xdr:rowOff>
    </xdr:to>
    <xdr:grpSp>
      <xdr:nvGrpSpPr>
        <xdr:cNvPr id="170" name="Group 1355">
          <a:extLst>
            <a:ext uri="{FF2B5EF4-FFF2-40B4-BE49-F238E27FC236}">
              <a16:creationId xmlns:a16="http://schemas.microsoft.com/office/drawing/2014/main" id="{76BD6797-FF9D-4335-A81B-111C35B702C4}"/>
            </a:ext>
          </a:extLst>
        </xdr:cNvPr>
        <xdr:cNvGrpSpPr>
          <a:grpSpLocks/>
        </xdr:cNvGrpSpPr>
      </xdr:nvGrpSpPr>
      <xdr:grpSpPr bwMode="auto">
        <a:xfrm>
          <a:off x="12630150" y="45446950"/>
          <a:ext cx="939800" cy="457200"/>
          <a:chOff x="986" y="117"/>
          <a:chExt cx="107" cy="50"/>
        </a:xfrm>
      </xdr:grpSpPr>
      <xdr:sp macro="" textlink="">
        <xdr:nvSpPr>
          <xdr:cNvPr id="171" name="Line 1356">
            <a:extLst>
              <a:ext uri="{FF2B5EF4-FFF2-40B4-BE49-F238E27FC236}">
                <a16:creationId xmlns:a16="http://schemas.microsoft.com/office/drawing/2014/main" id="{BB186425-2070-4A88-9E03-E6BEE38CDC6A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Text Box 1357">
            <a:extLst>
              <a:ext uri="{FF2B5EF4-FFF2-40B4-BE49-F238E27FC236}">
                <a16:creationId xmlns:a16="http://schemas.microsoft.com/office/drawing/2014/main" id="{E44FB7AA-53FB-47D2-A2E6-74ECE512AC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275</xdr:row>
      <xdr:rowOff>142875</xdr:rowOff>
    </xdr:from>
    <xdr:to>
      <xdr:col>62</xdr:col>
      <xdr:colOff>171450</xdr:colOff>
      <xdr:row>278</xdr:row>
      <xdr:rowOff>95250</xdr:rowOff>
    </xdr:to>
    <xdr:grpSp>
      <xdr:nvGrpSpPr>
        <xdr:cNvPr id="173" name="Group 1358">
          <a:extLst>
            <a:ext uri="{FF2B5EF4-FFF2-40B4-BE49-F238E27FC236}">
              <a16:creationId xmlns:a16="http://schemas.microsoft.com/office/drawing/2014/main" id="{AE987993-56C4-4E31-A971-81674E6F5960}"/>
            </a:ext>
          </a:extLst>
        </xdr:cNvPr>
        <xdr:cNvGrpSpPr>
          <a:grpSpLocks/>
        </xdr:cNvGrpSpPr>
      </xdr:nvGrpSpPr>
      <xdr:grpSpPr bwMode="auto">
        <a:xfrm>
          <a:off x="12950825" y="45720000"/>
          <a:ext cx="762000" cy="476250"/>
          <a:chOff x="1148" y="209"/>
          <a:chExt cx="95" cy="52"/>
        </a:xfrm>
      </xdr:grpSpPr>
      <xdr:sp macro="" textlink="">
        <xdr:nvSpPr>
          <xdr:cNvPr id="174" name="Line 1359">
            <a:extLst>
              <a:ext uri="{FF2B5EF4-FFF2-40B4-BE49-F238E27FC236}">
                <a16:creationId xmlns:a16="http://schemas.microsoft.com/office/drawing/2014/main" id="{B7F0F11F-2CFC-4F82-8B7B-7E2DE4FB4234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Text Box 1360">
            <a:extLst>
              <a:ext uri="{FF2B5EF4-FFF2-40B4-BE49-F238E27FC236}">
                <a16:creationId xmlns:a16="http://schemas.microsoft.com/office/drawing/2014/main" id="{68F84461-C059-4124-8086-B73314950F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292</xdr:row>
      <xdr:rowOff>28575</xdr:rowOff>
    </xdr:from>
    <xdr:to>
      <xdr:col>45</xdr:col>
      <xdr:colOff>28575</xdr:colOff>
      <xdr:row>294</xdr:row>
      <xdr:rowOff>152400</xdr:rowOff>
    </xdr:to>
    <xdr:grpSp>
      <xdr:nvGrpSpPr>
        <xdr:cNvPr id="176" name="Group 1361">
          <a:extLst>
            <a:ext uri="{FF2B5EF4-FFF2-40B4-BE49-F238E27FC236}">
              <a16:creationId xmlns:a16="http://schemas.microsoft.com/office/drawing/2014/main" id="{8D3F13A7-4845-4850-AD06-0F86C6D2B0DE}"/>
            </a:ext>
          </a:extLst>
        </xdr:cNvPr>
        <xdr:cNvGrpSpPr>
          <a:grpSpLocks/>
        </xdr:cNvGrpSpPr>
      </xdr:nvGrpSpPr>
      <xdr:grpSpPr bwMode="auto">
        <a:xfrm>
          <a:off x="8851900" y="48447325"/>
          <a:ext cx="939800" cy="457200"/>
          <a:chOff x="986" y="117"/>
          <a:chExt cx="107" cy="50"/>
        </a:xfrm>
      </xdr:grpSpPr>
      <xdr:sp macro="" textlink="">
        <xdr:nvSpPr>
          <xdr:cNvPr id="177" name="Line 1362">
            <a:extLst>
              <a:ext uri="{FF2B5EF4-FFF2-40B4-BE49-F238E27FC236}">
                <a16:creationId xmlns:a16="http://schemas.microsoft.com/office/drawing/2014/main" id="{2D8F7729-DC73-43CD-B05E-B1CB8AC9001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Text Box 1363">
            <a:extLst>
              <a:ext uri="{FF2B5EF4-FFF2-40B4-BE49-F238E27FC236}">
                <a16:creationId xmlns:a16="http://schemas.microsoft.com/office/drawing/2014/main" id="{BD231029-389A-4D7D-AA3E-71FA286249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293</xdr:row>
      <xdr:rowOff>142875</xdr:rowOff>
    </xdr:from>
    <xdr:to>
      <xdr:col>45</xdr:col>
      <xdr:colOff>171450</xdr:colOff>
      <xdr:row>296</xdr:row>
      <xdr:rowOff>95250</xdr:rowOff>
    </xdr:to>
    <xdr:grpSp>
      <xdr:nvGrpSpPr>
        <xdr:cNvPr id="179" name="Group 1364">
          <a:extLst>
            <a:ext uri="{FF2B5EF4-FFF2-40B4-BE49-F238E27FC236}">
              <a16:creationId xmlns:a16="http://schemas.microsoft.com/office/drawing/2014/main" id="{F6AF477F-1E25-4F4E-96A2-FCC73D181A74}"/>
            </a:ext>
          </a:extLst>
        </xdr:cNvPr>
        <xdr:cNvGrpSpPr>
          <a:grpSpLocks/>
        </xdr:cNvGrpSpPr>
      </xdr:nvGrpSpPr>
      <xdr:grpSpPr bwMode="auto">
        <a:xfrm>
          <a:off x="9172575" y="48720375"/>
          <a:ext cx="762000" cy="476250"/>
          <a:chOff x="1148" y="209"/>
          <a:chExt cx="95" cy="52"/>
        </a:xfrm>
      </xdr:grpSpPr>
      <xdr:sp macro="" textlink="">
        <xdr:nvSpPr>
          <xdr:cNvPr id="180" name="Line 1365">
            <a:extLst>
              <a:ext uri="{FF2B5EF4-FFF2-40B4-BE49-F238E27FC236}">
                <a16:creationId xmlns:a16="http://schemas.microsoft.com/office/drawing/2014/main" id="{5E1281EA-E975-4CF2-B1F6-37EAA712ADF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1" name="Text Box 1366">
            <a:extLst>
              <a:ext uri="{FF2B5EF4-FFF2-40B4-BE49-F238E27FC236}">
                <a16:creationId xmlns:a16="http://schemas.microsoft.com/office/drawing/2014/main" id="{74AC6F88-ACBB-47F8-A56D-AD6E0BA929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292</xdr:row>
      <xdr:rowOff>28575</xdr:rowOff>
    </xdr:from>
    <xdr:to>
      <xdr:col>62</xdr:col>
      <xdr:colOff>28575</xdr:colOff>
      <xdr:row>294</xdr:row>
      <xdr:rowOff>152400</xdr:rowOff>
    </xdr:to>
    <xdr:grpSp>
      <xdr:nvGrpSpPr>
        <xdr:cNvPr id="182" name="Group 1367">
          <a:extLst>
            <a:ext uri="{FF2B5EF4-FFF2-40B4-BE49-F238E27FC236}">
              <a16:creationId xmlns:a16="http://schemas.microsoft.com/office/drawing/2014/main" id="{DA00E192-4792-461C-BFE6-14C1F867F1E9}"/>
            </a:ext>
          </a:extLst>
        </xdr:cNvPr>
        <xdr:cNvGrpSpPr>
          <a:grpSpLocks/>
        </xdr:cNvGrpSpPr>
      </xdr:nvGrpSpPr>
      <xdr:grpSpPr bwMode="auto">
        <a:xfrm>
          <a:off x="12630150" y="48447325"/>
          <a:ext cx="939800" cy="457200"/>
          <a:chOff x="986" y="117"/>
          <a:chExt cx="107" cy="50"/>
        </a:xfrm>
      </xdr:grpSpPr>
      <xdr:sp macro="" textlink="">
        <xdr:nvSpPr>
          <xdr:cNvPr id="183" name="Line 1368">
            <a:extLst>
              <a:ext uri="{FF2B5EF4-FFF2-40B4-BE49-F238E27FC236}">
                <a16:creationId xmlns:a16="http://schemas.microsoft.com/office/drawing/2014/main" id="{20DA6A54-EC33-48D4-9580-D374D9383BC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Text Box 1369">
            <a:extLst>
              <a:ext uri="{FF2B5EF4-FFF2-40B4-BE49-F238E27FC236}">
                <a16:creationId xmlns:a16="http://schemas.microsoft.com/office/drawing/2014/main" id="{C6591C7B-CBB9-4391-8D3B-2054D7D84F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293</xdr:row>
      <xdr:rowOff>142875</xdr:rowOff>
    </xdr:from>
    <xdr:to>
      <xdr:col>62</xdr:col>
      <xdr:colOff>171450</xdr:colOff>
      <xdr:row>296</xdr:row>
      <xdr:rowOff>95250</xdr:rowOff>
    </xdr:to>
    <xdr:grpSp>
      <xdr:nvGrpSpPr>
        <xdr:cNvPr id="185" name="Group 1370">
          <a:extLst>
            <a:ext uri="{FF2B5EF4-FFF2-40B4-BE49-F238E27FC236}">
              <a16:creationId xmlns:a16="http://schemas.microsoft.com/office/drawing/2014/main" id="{AE92206E-A965-49FC-B782-3FC972FE567A}"/>
            </a:ext>
          </a:extLst>
        </xdr:cNvPr>
        <xdr:cNvGrpSpPr>
          <a:grpSpLocks/>
        </xdr:cNvGrpSpPr>
      </xdr:nvGrpSpPr>
      <xdr:grpSpPr bwMode="auto">
        <a:xfrm>
          <a:off x="12950825" y="48720375"/>
          <a:ext cx="762000" cy="476250"/>
          <a:chOff x="1148" y="209"/>
          <a:chExt cx="95" cy="52"/>
        </a:xfrm>
      </xdr:grpSpPr>
      <xdr:sp macro="" textlink="">
        <xdr:nvSpPr>
          <xdr:cNvPr id="186" name="Line 1371">
            <a:extLst>
              <a:ext uri="{FF2B5EF4-FFF2-40B4-BE49-F238E27FC236}">
                <a16:creationId xmlns:a16="http://schemas.microsoft.com/office/drawing/2014/main" id="{1B77A270-8893-4BE5-9285-F0AE3156C8C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Text Box 1372">
            <a:extLst>
              <a:ext uri="{FF2B5EF4-FFF2-40B4-BE49-F238E27FC236}">
                <a16:creationId xmlns:a16="http://schemas.microsoft.com/office/drawing/2014/main" id="{3866DC0E-EA92-41E5-8E55-5B7E3A111A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318</xdr:row>
      <xdr:rowOff>28575</xdr:rowOff>
    </xdr:from>
    <xdr:to>
      <xdr:col>45</xdr:col>
      <xdr:colOff>28575</xdr:colOff>
      <xdr:row>320</xdr:row>
      <xdr:rowOff>152400</xdr:rowOff>
    </xdr:to>
    <xdr:grpSp>
      <xdr:nvGrpSpPr>
        <xdr:cNvPr id="188" name="Group 1373">
          <a:extLst>
            <a:ext uri="{FF2B5EF4-FFF2-40B4-BE49-F238E27FC236}">
              <a16:creationId xmlns:a16="http://schemas.microsoft.com/office/drawing/2014/main" id="{C617E758-2D5C-4978-9E3B-D22EE03B415D}"/>
            </a:ext>
          </a:extLst>
        </xdr:cNvPr>
        <xdr:cNvGrpSpPr>
          <a:grpSpLocks/>
        </xdr:cNvGrpSpPr>
      </xdr:nvGrpSpPr>
      <xdr:grpSpPr bwMode="auto">
        <a:xfrm>
          <a:off x="8851900" y="52670075"/>
          <a:ext cx="939800" cy="520700"/>
          <a:chOff x="986" y="117"/>
          <a:chExt cx="107" cy="50"/>
        </a:xfrm>
      </xdr:grpSpPr>
      <xdr:sp macro="" textlink="">
        <xdr:nvSpPr>
          <xdr:cNvPr id="189" name="Line 1374">
            <a:extLst>
              <a:ext uri="{FF2B5EF4-FFF2-40B4-BE49-F238E27FC236}">
                <a16:creationId xmlns:a16="http://schemas.microsoft.com/office/drawing/2014/main" id="{91E959C2-85A4-4B04-BD0A-D56BDD92277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Text Box 1375">
            <a:extLst>
              <a:ext uri="{FF2B5EF4-FFF2-40B4-BE49-F238E27FC236}">
                <a16:creationId xmlns:a16="http://schemas.microsoft.com/office/drawing/2014/main" id="{13FFB2D3-E91E-42C4-B51B-FB75183057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319</xdr:row>
      <xdr:rowOff>142875</xdr:rowOff>
    </xdr:from>
    <xdr:to>
      <xdr:col>45</xdr:col>
      <xdr:colOff>171450</xdr:colOff>
      <xdr:row>322</xdr:row>
      <xdr:rowOff>95250</xdr:rowOff>
    </xdr:to>
    <xdr:grpSp>
      <xdr:nvGrpSpPr>
        <xdr:cNvPr id="191" name="Group 1376">
          <a:extLst>
            <a:ext uri="{FF2B5EF4-FFF2-40B4-BE49-F238E27FC236}">
              <a16:creationId xmlns:a16="http://schemas.microsoft.com/office/drawing/2014/main" id="{0575A462-1511-4F72-8C1F-3211D2813424}"/>
            </a:ext>
          </a:extLst>
        </xdr:cNvPr>
        <xdr:cNvGrpSpPr>
          <a:grpSpLocks/>
        </xdr:cNvGrpSpPr>
      </xdr:nvGrpSpPr>
      <xdr:grpSpPr bwMode="auto">
        <a:xfrm>
          <a:off x="9172575" y="53006625"/>
          <a:ext cx="762000" cy="476250"/>
          <a:chOff x="1148" y="209"/>
          <a:chExt cx="95" cy="52"/>
        </a:xfrm>
      </xdr:grpSpPr>
      <xdr:sp macro="" textlink="">
        <xdr:nvSpPr>
          <xdr:cNvPr id="192" name="Line 1377">
            <a:extLst>
              <a:ext uri="{FF2B5EF4-FFF2-40B4-BE49-F238E27FC236}">
                <a16:creationId xmlns:a16="http://schemas.microsoft.com/office/drawing/2014/main" id="{488E97F2-EBAA-4511-98B8-9ECC87CA980A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Text Box 1378">
            <a:extLst>
              <a:ext uri="{FF2B5EF4-FFF2-40B4-BE49-F238E27FC236}">
                <a16:creationId xmlns:a16="http://schemas.microsoft.com/office/drawing/2014/main" id="{0550F1DD-ED35-43B0-A388-585607FD703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318</xdr:row>
      <xdr:rowOff>28575</xdr:rowOff>
    </xdr:from>
    <xdr:to>
      <xdr:col>62</xdr:col>
      <xdr:colOff>28575</xdr:colOff>
      <xdr:row>320</xdr:row>
      <xdr:rowOff>152400</xdr:rowOff>
    </xdr:to>
    <xdr:grpSp>
      <xdr:nvGrpSpPr>
        <xdr:cNvPr id="194" name="Group 1379">
          <a:extLst>
            <a:ext uri="{FF2B5EF4-FFF2-40B4-BE49-F238E27FC236}">
              <a16:creationId xmlns:a16="http://schemas.microsoft.com/office/drawing/2014/main" id="{07DDCF40-C22E-401C-B78B-31530BE88790}"/>
            </a:ext>
          </a:extLst>
        </xdr:cNvPr>
        <xdr:cNvGrpSpPr>
          <a:grpSpLocks/>
        </xdr:cNvGrpSpPr>
      </xdr:nvGrpSpPr>
      <xdr:grpSpPr bwMode="auto">
        <a:xfrm>
          <a:off x="12630150" y="52670075"/>
          <a:ext cx="939800" cy="520700"/>
          <a:chOff x="986" y="117"/>
          <a:chExt cx="107" cy="50"/>
        </a:xfrm>
      </xdr:grpSpPr>
      <xdr:sp macro="" textlink="">
        <xdr:nvSpPr>
          <xdr:cNvPr id="195" name="Line 1380">
            <a:extLst>
              <a:ext uri="{FF2B5EF4-FFF2-40B4-BE49-F238E27FC236}">
                <a16:creationId xmlns:a16="http://schemas.microsoft.com/office/drawing/2014/main" id="{66E7B9E0-3CC5-4E8D-918C-9DFFED47ED86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" name="Text Box 1381">
            <a:extLst>
              <a:ext uri="{FF2B5EF4-FFF2-40B4-BE49-F238E27FC236}">
                <a16:creationId xmlns:a16="http://schemas.microsoft.com/office/drawing/2014/main" id="{F4C0880C-EB74-4786-9072-BF09B37F29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319</xdr:row>
      <xdr:rowOff>142875</xdr:rowOff>
    </xdr:from>
    <xdr:to>
      <xdr:col>62</xdr:col>
      <xdr:colOff>171450</xdr:colOff>
      <xdr:row>322</xdr:row>
      <xdr:rowOff>95250</xdr:rowOff>
    </xdr:to>
    <xdr:grpSp>
      <xdr:nvGrpSpPr>
        <xdr:cNvPr id="197" name="Group 1382">
          <a:extLst>
            <a:ext uri="{FF2B5EF4-FFF2-40B4-BE49-F238E27FC236}">
              <a16:creationId xmlns:a16="http://schemas.microsoft.com/office/drawing/2014/main" id="{CC8AF25E-1626-442D-B70D-EA6D7090671C}"/>
            </a:ext>
          </a:extLst>
        </xdr:cNvPr>
        <xdr:cNvGrpSpPr>
          <a:grpSpLocks/>
        </xdr:cNvGrpSpPr>
      </xdr:nvGrpSpPr>
      <xdr:grpSpPr bwMode="auto">
        <a:xfrm>
          <a:off x="12950825" y="53006625"/>
          <a:ext cx="762000" cy="476250"/>
          <a:chOff x="1148" y="209"/>
          <a:chExt cx="95" cy="52"/>
        </a:xfrm>
      </xdr:grpSpPr>
      <xdr:sp macro="" textlink="">
        <xdr:nvSpPr>
          <xdr:cNvPr id="198" name="Line 1383">
            <a:extLst>
              <a:ext uri="{FF2B5EF4-FFF2-40B4-BE49-F238E27FC236}">
                <a16:creationId xmlns:a16="http://schemas.microsoft.com/office/drawing/2014/main" id="{48756F7D-4594-4D01-A7DC-8BDD912C2E33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Text Box 1384">
            <a:extLst>
              <a:ext uri="{FF2B5EF4-FFF2-40B4-BE49-F238E27FC236}">
                <a16:creationId xmlns:a16="http://schemas.microsoft.com/office/drawing/2014/main" id="{21D45F70-4B78-483C-9160-174BD98263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336</xdr:row>
      <xdr:rowOff>28575</xdr:rowOff>
    </xdr:from>
    <xdr:to>
      <xdr:col>45</xdr:col>
      <xdr:colOff>28575</xdr:colOff>
      <xdr:row>338</xdr:row>
      <xdr:rowOff>152400</xdr:rowOff>
    </xdr:to>
    <xdr:grpSp>
      <xdr:nvGrpSpPr>
        <xdr:cNvPr id="200" name="Group 1385">
          <a:extLst>
            <a:ext uri="{FF2B5EF4-FFF2-40B4-BE49-F238E27FC236}">
              <a16:creationId xmlns:a16="http://schemas.microsoft.com/office/drawing/2014/main" id="{C7455EF6-7A9E-47D1-ABDC-C00937D32F4B}"/>
            </a:ext>
          </a:extLst>
        </xdr:cNvPr>
        <xdr:cNvGrpSpPr>
          <a:grpSpLocks/>
        </xdr:cNvGrpSpPr>
      </xdr:nvGrpSpPr>
      <xdr:grpSpPr bwMode="auto">
        <a:xfrm>
          <a:off x="8851900" y="55733950"/>
          <a:ext cx="939800" cy="457200"/>
          <a:chOff x="986" y="117"/>
          <a:chExt cx="107" cy="50"/>
        </a:xfrm>
      </xdr:grpSpPr>
      <xdr:sp macro="" textlink="">
        <xdr:nvSpPr>
          <xdr:cNvPr id="201" name="Line 1386">
            <a:extLst>
              <a:ext uri="{FF2B5EF4-FFF2-40B4-BE49-F238E27FC236}">
                <a16:creationId xmlns:a16="http://schemas.microsoft.com/office/drawing/2014/main" id="{A29CF1C7-FD93-4F0C-8297-658C44873377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Text Box 1387">
            <a:extLst>
              <a:ext uri="{FF2B5EF4-FFF2-40B4-BE49-F238E27FC236}">
                <a16:creationId xmlns:a16="http://schemas.microsoft.com/office/drawing/2014/main" id="{F1746DCA-C132-4DC6-98F5-D9133804AB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337</xdr:row>
      <xdr:rowOff>142875</xdr:rowOff>
    </xdr:from>
    <xdr:to>
      <xdr:col>45</xdr:col>
      <xdr:colOff>171450</xdr:colOff>
      <xdr:row>340</xdr:row>
      <xdr:rowOff>95250</xdr:rowOff>
    </xdr:to>
    <xdr:grpSp>
      <xdr:nvGrpSpPr>
        <xdr:cNvPr id="203" name="Group 1388">
          <a:extLst>
            <a:ext uri="{FF2B5EF4-FFF2-40B4-BE49-F238E27FC236}">
              <a16:creationId xmlns:a16="http://schemas.microsoft.com/office/drawing/2014/main" id="{2652425E-B09C-40EB-BB6B-05C6E746D3B8}"/>
            </a:ext>
          </a:extLst>
        </xdr:cNvPr>
        <xdr:cNvGrpSpPr>
          <a:grpSpLocks/>
        </xdr:cNvGrpSpPr>
      </xdr:nvGrpSpPr>
      <xdr:grpSpPr bwMode="auto">
        <a:xfrm>
          <a:off x="9172575" y="56007000"/>
          <a:ext cx="762000" cy="476250"/>
          <a:chOff x="1148" y="209"/>
          <a:chExt cx="95" cy="52"/>
        </a:xfrm>
      </xdr:grpSpPr>
      <xdr:sp macro="" textlink="">
        <xdr:nvSpPr>
          <xdr:cNvPr id="204" name="Line 1389">
            <a:extLst>
              <a:ext uri="{FF2B5EF4-FFF2-40B4-BE49-F238E27FC236}">
                <a16:creationId xmlns:a16="http://schemas.microsoft.com/office/drawing/2014/main" id="{A3B1E8CE-C475-43BF-85F9-F0FD51FD7030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Text Box 1390">
            <a:extLst>
              <a:ext uri="{FF2B5EF4-FFF2-40B4-BE49-F238E27FC236}">
                <a16:creationId xmlns:a16="http://schemas.microsoft.com/office/drawing/2014/main" id="{79CA212F-14DD-4A30-8E85-CC92BC40FF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336</xdr:row>
      <xdr:rowOff>28575</xdr:rowOff>
    </xdr:from>
    <xdr:to>
      <xdr:col>62</xdr:col>
      <xdr:colOff>28575</xdr:colOff>
      <xdr:row>338</xdr:row>
      <xdr:rowOff>152400</xdr:rowOff>
    </xdr:to>
    <xdr:grpSp>
      <xdr:nvGrpSpPr>
        <xdr:cNvPr id="206" name="Group 1391">
          <a:extLst>
            <a:ext uri="{FF2B5EF4-FFF2-40B4-BE49-F238E27FC236}">
              <a16:creationId xmlns:a16="http://schemas.microsoft.com/office/drawing/2014/main" id="{0213F982-41F5-4103-ABF1-D488878B23C3}"/>
            </a:ext>
          </a:extLst>
        </xdr:cNvPr>
        <xdr:cNvGrpSpPr>
          <a:grpSpLocks/>
        </xdr:cNvGrpSpPr>
      </xdr:nvGrpSpPr>
      <xdr:grpSpPr bwMode="auto">
        <a:xfrm>
          <a:off x="12630150" y="55733950"/>
          <a:ext cx="939800" cy="457200"/>
          <a:chOff x="986" y="117"/>
          <a:chExt cx="107" cy="50"/>
        </a:xfrm>
      </xdr:grpSpPr>
      <xdr:sp macro="" textlink="">
        <xdr:nvSpPr>
          <xdr:cNvPr id="207" name="Line 1392">
            <a:extLst>
              <a:ext uri="{FF2B5EF4-FFF2-40B4-BE49-F238E27FC236}">
                <a16:creationId xmlns:a16="http://schemas.microsoft.com/office/drawing/2014/main" id="{4FDCB44D-B911-4A92-BB28-A0ACA5A7DDAE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" name="Text Box 1393">
            <a:extLst>
              <a:ext uri="{FF2B5EF4-FFF2-40B4-BE49-F238E27FC236}">
                <a16:creationId xmlns:a16="http://schemas.microsoft.com/office/drawing/2014/main" id="{EEACBC50-A17D-4354-A116-68C9BB2BB9E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337</xdr:row>
      <xdr:rowOff>142875</xdr:rowOff>
    </xdr:from>
    <xdr:to>
      <xdr:col>62</xdr:col>
      <xdr:colOff>171450</xdr:colOff>
      <xdr:row>340</xdr:row>
      <xdr:rowOff>95250</xdr:rowOff>
    </xdr:to>
    <xdr:grpSp>
      <xdr:nvGrpSpPr>
        <xdr:cNvPr id="209" name="Group 1394">
          <a:extLst>
            <a:ext uri="{FF2B5EF4-FFF2-40B4-BE49-F238E27FC236}">
              <a16:creationId xmlns:a16="http://schemas.microsoft.com/office/drawing/2014/main" id="{AFCE6F77-56FD-429F-8878-183DD399555F}"/>
            </a:ext>
          </a:extLst>
        </xdr:cNvPr>
        <xdr:cNvGrpSpPr>
          <a:grpSpLocks/>
        </xdr:cNvGrpSpPr>
      </xdr:nvGrpSpPr>
      <xdr:grpSpPr bwMode="auto">
        <a:xfrm>
          <a:off x="12950825" y="56007000"/>
          <a:ext cx="762000" cy="476250"/>
          <a:chOff x="1148" y="209"/>
          <a:chExt cx="95" cy="52"/>
        </a:xfrm>
      </xdr:grpSpPr>
      <xdr:sp macro="" textlink="">
        <xdr:nvSpPr>
          <xdr:cNvPr id="210" name="Line 1395">
            <a:extLst>
              <a:ext uri="{FF2B5EF4-FFF2-40B4-BE49-F238E27FC236}">
                <a16:creationId xmlns:a16="http://schemas.microsoft.com/office/drawing/2014/main" id="{65AD6148-AE18-4498-B7D0-B52389E78F1F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Text Box 1396">
            <a:extLst>
              <a:ext uri="{FF2B5EF4-FFF2-40B4-BE49-F238E27FC236}">
                <a16:creationId xmlns:a16="http://schemas.microsoft.com/office/drawing/2014/main" id="{2EFB925F-7B52-487C-AF51-B41611C86E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200025</xdr:colOff>
      <xdr:row>354</xdr:row>
      <xdr:rowOff>28575</xdr:rowOff>
    </xdr:from>
    <xdr:to>
      <xdr:col>45</xdr:col>
      <xdr:colOff>28575</xdr:colOff>
      <xdr:row>356</xdr:row>
      <xdr:rowOff>152400</xdr:rowOff>
    </xdr:to>
    <xdr:grpSp>
      <xdr:nvGrpSpPr>
        <xdr:cNvPr id="212" name="Group 1397">
          <a:extLst>
            <a:ext uri="{FF2B5EF4-FFF2-40B4-BE49-F238E27FC236}">
              <a16:creationId xmlns:a16="http://schemas.microsoft.com/office/drawing/2014/main" id="{D3086D88-2241-41AB-B171-56BF281A078D}"/>
            </a:ext>
          </a:extLst>
        </xdr:cNvPr>
        <xdr:cNvGrpSpPr>
          <a:grpSpLocks/>
        </xdr:cNvGrpSpPr>
      </xdr:nvGrpSpPr>
      <xdr:grpSpPr bwMode="auto">
        <a:xfrm>
          <a:off x="8851900" y="58734325"/>
          <a:ext cx="939800" cy="457200"/>
          <a:chOff x="986" y="117"/>
          <a:chExt cx="107" cy="50"/>
        </a:xfrm>
      </xdr:grpSpPr>
      <xdr:sp macro="" textlink="">
        <xdr:nvSpPr>
          <xdr:cNvPr id="213" name="Line 1398">
            <a:extLst>
              <a:ext uri="{FF2B5EF4-FFF2-40B4-BE49-F238E27FC236}">
                <a16:creationId xmlns:a16="http://schemas.microsoft.com/office/drawing/2014/main" id="{FA98F216-3CF9-4D7E-B730-BC2FA029C818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" name="Text Box 1399">
            <a:extLst>
              <a:ext uri="{FF2B5EF4-FFF2-40B4-BE49-F238E27FC236}">
                <a16:creationId xmlns:a16="http://schemas.microsoft.com/office/drawing/2014/main" id="{74A7E4CB-78A7-4D4F-B2F2-84B1189484A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42</xdr:col>
      <xdr:colOff>76200</xdr:colOff>
      <xdr:row>355</xdr:row>
      <xdr:rowOff>142875</xdr:rowOff>
    </xdr:from>
    <xdr:to>
      <xdr:col>45</xdr:col>
      <xdr:colOff>171450</xdr:colOff>
      <xdr:row>358</xdr:row>
      <xdr:rowOff>95250</xdr:rowOff>
    </xdr:to>
    <xdr:grpSp>
      <xdr:nvGrpSpPr>
        <xdr:cNvPr id="215" name="Group 1400">
          <a:extLst>
            <a:ext uri="{FF2B5EF4-FFF2-40B4-BE49-F238E27FC236}">
              <a16:creationId xmlns:a16="http://schemas.microsoft.com/office/drawing/2014/main" id="{2F0C5096-6D0B-4419-AB49-DA1680D9C334}"/>
            </a:ext>
          </a:extLst>
        </xdr:cNvPr>
        <xdr:cNvGrpSpPr>
          <a:grpSpLocks/>
        </xdr:cNvGrpSpPr>
      </xdr:nvGrpSpPr>
      <xdr:grpSpPr bwMode="auto">
        <a:xfrm>
          <a:off x="9172575" y="59007375"/>
          <a:ext cx="762000" cy="476250"/>
          <a:chOff x="1148" y="209"/>
          <a:chExt cx="95" cy="52"/>
        </a:xfrm>
      </xdr:grpSpPr>
      <xdr:sp macro="" textlink="">
        <xdr:nvSpPr>
          <xdr:cNvPr id="216" name="Line 1401">
            <a:extLst>
              <a:ext uri="{FF2B5EF4-FFF2-40B4-BE49-F238E27FC236}">
                <a16:creationId xmlns:a16="http://schemas.microsoft.com/office/drawing/2014/main" id="{BC8A414E-4A5A-4B11-B2E6-D7B85D2A4FD7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" name="Text Box 1402">
            <a:extLst>
              <a:ext uri="{FF2B5EF4-FFF2-40B4-BE49-F238E27FC236}">
                <a16:creationId xmlns:a16="http://schemas.microsoft.com/office/drawing/2014/main" id="{AB103253-7501-4B83-A952-C54436EFC0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57</xdr:col>
      <xdr:colOff>200025</xdr:colOff>
      <xdr:row>354</xdr:row>
      <xdr:rowOff>28575</xdr:rowOff>
    </xdr:from>
    <xdr:to>
      <xdr:col>62</xdr:col>
      <xdr:colOff>28575</xdr:colOff>
      <xdr:row>356</xdr:row>
      <xdr:rowOff>152400</xdr:rowOff>
    </xdr:to>
    <xdr:grpSp>
      <xdr:nvGrpSpPr>
        <xdr:cNvPr id="218" name="Group 1403">
          <a:extLst>
            <a:ext uri="{FF2B5EF4-FFF2-40B4-BE49-F238E27FC236}">
              <a16:creationId xmlns:a16="http://schemas.microsoft.com/office/drawing/2014/main" id="{E4EF00BA-E393-4A59-97FF-CDAFCB9B22D7}"/>
            </a:ext>
          </a:extLst>
        </xdr:cNvPr>
        <xdr:cNvGrpSpPr>
          <a:grpSpLocks/>
        </xdr:cNvGrpSpPr>
      </xdr:nvGrpSpPr>
      <xdr:grpSpPr bwMode="auto">
        <a:xfrm>
          <a:off x="12630150" y="58734325"/>
          <a:ext cx="939800" cy="457200"/>
          <a:chOff x="986" y="117"/>
          <a:chExt cx="107" cy="50"/>
        </a:xfrm>
      </xdr:grpSpPr>
      <xdr:sp macro="" textlink="">
        <xdr:nvSpPr>
          <xdr:cNvPr id="219" name="Line 1404">
            <a:extLst>
              <a:ext uri="{FF2B5EF4-FFF2-40B4-BE49-F238E27FC236}">
                <a16:creationId xmlns:a16="http://schemas.microsoft.com/office/drawing/2014/main" id="{D659D614-138D-4152-A191-4B24FB3EA49C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Text Box 1405">
            <a:extLst>
              <a:ext uri="{FF2B5EF4-FFF2-40B4-BE49-F238E27FC236}">
                <a16:creationId xmlns:a16="http://schemas.microsoft.com/office/drawing/2014/main" id="{1D5FCDAA-ACF3-4A2A-AE5A-B67AEE6942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59</xdr:col>
      <xdr:colOff>76200</xdr:colOff>
      <xdr:row>355</xdr:row>
      <xdr:rowOff>142875</xdr:rowOff>
    </xdr:from>
    <xdr:to>
      <xdr:col>62</xdr:col>
      <xdr:colOff>171450</xdr:colOff>
      <xdr:row>358</xdr:row>
      <xdr:rowOff>95250</xdr:rowOff>
    </xdr:to>
    <xdr:grpSp>
      <xdr:nvGrpSpPr>
        <xdr:cNvPr id="221" name="Group 1406">
          <a:extLst>
            <a:ext uri="{FF2B5EF4-FFF2-40B4-BE49-F238E27FC236}">
              <a16:creationId xmlns:a16="http://schemas.microsoft.com/office/drawing/2014/main" id="{BC0FF44F-76F4-4F2F-B4A7-2F69C19F6277}"/>
            </a:ext>
          </a:extLst>
        </xdr:cNvPr>
        <xdr:cNvGrpSpPr>
          <a:grpSpLocks/>
        </xdr:cNvGrpSpPr>
      </xdr:nvGrpSpPr>
      <xdr:grpSpPr bwMode="auto">
        <a:xfrm>
          <a:off x="12950825" y="59007375"/>
          <a:ext cx="762000" cy="476250"/>
          <a:chOff x="1148" y="209"/>
          <a:chExt cx="95" cy="52"/>
        </a:xfrm>
      </xdr:grpSpPr>
      <xdr:sp macro="" textlink="">
        <xdr:nvSpPr>
          <xdr:cNvPr id="222" name="Line 1407">
            <a:extLst>
              <a:ext uri="{FF2B5EF4-FFF2-40B4-BE49-F238E27FC236}">
                <a16:creationId xmlns:a16="http://schemas.microsoft.com/office/drawing/2014/main" id="{F662B77B-B93A-4020-BB78-30EA60E5366B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Text Box 1408">
            <a:extLst>
              <a:ext uri="{FF2B5EF4-FFF2-40B4-BE49-F238E27FC236}">
                <a16:creationId xmlns:a16="http://schemas.microsoft.com/office/drawing/2014/main" id="{D071DA48-10A3-4F51-9DDD-ACA09F5B49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 editAs="oneCell">
    <xdr:from>
      <xdr:col>64</xdr:col>
      <xdr:colOff>104775</xdr:colOff>
      <xdr:row>34</xdr:row>
      <xdr:rowOff>47625</xdr:rowOff>
    </xdr:from>
    <xdr:to>
      <xdr:col>65</xdr:col>
      <xdr:colOff>66675</xdr:colOff>
      <xdr:row>35</xdr:row>
      <xdr:rowOff>95250</xdr:rowOff>
    </xdr:to>
    <xdr:pic>
      <xdr:nvPicPr>
        <xdr:cNvPr id="224" name="Picture 1409" descr="red_01">
          <a:extLst>
            <a:ext uri="{FF2B5EF4-FFF2-40B4-BE49-F238E27FC236}">
              <a16:creationId xmlns:a16="http://schemas.microsoft.com/office/drawing/2014/main" id="{35791667-D1EA-4499-B677-404BC1EB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57943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36</xdr:row>
      <xdr:rowOff>47625</xdr:rowOff>
    </xdr:from>
    <xdr:to>
      <xdr:col>65</xdr:col>
      <xdr:colOff>66675</xdr:colOff>
      <xdr:row>37</xdr:row>
      <xdr:rowOff>95250</xdr:rowOff>
    </xdr:to>
    <xdr:pic>
      <xdr:nvPicPr>
        <xdr:cNvPr id="225" name="Picture 1410" descr="red_02">
          <a:extLst>
            <a:ext uri="{FF2B5EF4-FFF2-40B4-BE49-F238E27FC236}">
              <a16:creationId xmlns:a16="http://schemas.microsoft.com/office/drawing/2014/main" id="{2683EB9E-818A-4AD5-B448-E384852A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1499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38</xdr:row>
      <xdr:rowOff>47625</xdr:rowOff>
    </xdr:from>
    <xdr:to>
      <xdr:col>65</xdr:col>
      <xdr:colOff>66675</xdr:colOff>
      <xdr:row>39</xdr:row>
      <xdr:rowOff>95250</xdr:rowOff>
    </xdr:to>
    <xdr:pic>
      <xdr:nvPicPr>
        <xdr:cNvPr id="226" name="Picture 1411" descr="red_03">
          <a:extLst>
            <a:ext uri="{FF2B5EF4-FFF2-40B4-BE49-F238E27FC236}">
              <a16:creationId xmlns:a16="http://schemas.microsoft.com/office/drawing/2014/main" id="{1542821E-018F-41F3-8DBC-98B402AA7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5055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40</xdr:row>
      <xdr:rowOff>47625</xdr:rowOff>
    </xdr:from>
    <xdr:to>
      <xdr:col>65</xdr:col>
      <xdr:colOff>66675</xdr:colOff>
      <xdr:row>41</xdr:row>
      <xdr:rowOff>95250</xdr:rowOff>
    </xdr:to>
    <xdr:pic>
      <xdr:nvPicPr>
        <xdr:cNvPr id="227" name="Picture 1412" descr="red_04">
          <a:extLst>
            <a:ext uri="{FF2B5EF4-FFF2-40B4-BE49-F238E27FC236}">
              <a16:creationId xmlns:a16="http://schemas.microsoft.com/office/drawing/2014/main" id="{14BF8E37-9702-4A71-BFCD-CC210732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68611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42</xdr:row>
      <xdr:rowOff>47625</xdr:rowOff>
    </xdr:from>
    <xdr:to>
      <xdr:col>65</xdr:col>
      <xdr:colOff>66675</xdr:colOff>
      <xdr:row>44</xdr:row>
      <xdr:rowOff>38100</xdr:rowOff>
    </xdr:to>
    <xdr:pic>
      <xdr:nvPicPr>
        <xdr:cNvPr id="228" name="Picture 1413" descr="red_05">
          <a:extLst>
            <a:ext uri="{FF2B5EF4-FFF2-40B4-BE49-F238E27FC236}">
              <a16:creationId xmlns:a16="http://schemas.microsoft.com/office/drawing/2014/main" id="{A685DFFE-E2B1-4EE4-AE68-6B356FDE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72167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104775</xdr:colOff>
      <xdr:row>45</xdr:row>
      <xdr:rowOff>0</xdr:rowOff>
    </xdr:from>
    <xdr:to>
      <xdr:col>65</xdr:col>
      <xdr:colOff>66675</xdr:colOff>
      <xdr:row>46</xdr:row>
      <xdr:rowOff>47625</xdr:rowOff>
    </xdr:to>
    <xdr:pic>
      <xdr:nvPicPr>
        <xdr:cNvPr id="229" name="Picture 1414" descr="red_06">
          <a:extLst>
            <a:ext uri="{FF2B5EF4-FFF2-40B4-BE49-F238E27FC236}">
              <a16:creationId xmlns:a16="http://schemas.microsoft.com/office/drawing/2014/main" id="{DB6E984B-E259-4436-87BA-3C376355B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9125" y="7575550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94</xdr:row>
      <xdr:rowOff>47625</xdr:rowOff>
    </xdr:from>
    <xdr:to>
      <xdr:col>65</xdr:col>
      <xdr:colOff>161925</xdr:colOff>
      <xdr:row>95</xdr:row>
      <xdr:rowOff>95251</xdr:rowOff>
    </xdr:to>
    <xdr:pic>
      <xdr:nvPicPr>
        <xdr:cNvPr id="230" name="Picture 1415" descr="red_07">
          <a:extLst>
            <a:ext uri="{FF2B5EF4-FFF2-40B4-BE49-F238E27FC236}">
              <a16:creationId xmlns:a16="http://schemas.microsoft.com/office/drawing/2014/main" id="{9DA80750-70DC-40E7-A109-C9EA6957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59226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96</xdr:row>
      <xdr:rowOff>47625</xdr:rowOff>
    </xdr:from>
    <xdr:to>
      <xdr:col>65</xdr:col>
      <xdr:colOff>161925</xdr:colOff>
      <xdr:row>97</xdr:row>
      <xdr:rowOff>95250</xdr:rowOff>
    </xdr:to>
    <xdr:pic>
      <xdr:nvPicPr>
        <xdr:cNvPr id="231" name="Picture 1416" descr="red_08">
          <a:extLst>
            <a:ext uri="{FF2B5EF4-FFF2-40B4-BE49-F238E27FC236}">
              <a16:creationId xmlns:a16="http://schemas.microsoft.com/office/drawing/2014/main" id="{6C693C87-6A2A-4204-B8ED-655B44C66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2782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98</xdr:row>
      <xdr:rowOff>47625</xdr:rowOff>
    </xdr:from>
    <xdr:to>
      <xdr:col>65</xdr:col>
      <xdr:colOff>161925</xdr:colOff>
      <xdr:row>99</xdr:row>
      <xdr:rowOff>95251</xdr:rowOff>
    </xdr:to>
    <xdr:pic>
      <xdr:nvPicPr>
        <xdr:cNvPr id="232" name="Picture 1417" descr="red_09">
          <a:extLst>
            <a:ext uri="{FF2B5EF4-FFF2-40B4-BE49-F238E27FC236}">
              <a16:creationId xmlns:a16="http://schemas.microsoft.com/office/drawing/2014/main" id="{5E8F9860-4688-4206-9B3E-E6BFEC0CE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6338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100</xdr:row>
      <xdr:rowOff>47625</xdr:rowOff>
    </xdr:from>
    <xdr:to>
      <xdr:col>65</xdr:col>
      <xdr:colOff>161925</xdr:colOff>
      <xdr:row>101</xdr:row>
      <xdr:rowOff>95250</xdr:rowOff>
    </xdr:to>
    <xdr:pic>
      <xdr:nvPicPr>
        <xdr:cNvPr id="233" name="Picture 1418" descr="red_10">
          <a:extLst>
            <a:ext uri="{FF2B5EF4-FFF2-40B4-BE49-F238E27FC236}">
              <a16:creationId xmlns:a16="http://schemas.microsoft.com/office/drawing/2014/main" id="{2C385990-F0DB-4763-B53F-D7FF9D5C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69894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102</xdr:row>
      <xdr:rowOff>47625</xdr:rowOff>
    </xdr:from>
    <xdr:to>
      <xdr:col>65</xdr:col>
      <xdr:colOff>161925</xdr:colOff>
      <xdr:row>103</xdr:row>
      <xdr:rowOff>95251</xdr:rowOff>
    </xdr:to>
    <xdr:pic>
      <xdr:nvPicPr>
        <xdr:cNvPr id="234" name="Picture 1419" descr="red_11">
          <a:extLst>
            <a:ext uri="{FF2B5EF4-FFF2-40B4-BE49-F238E27FC236}">
              <a16:creationId xmlns:a16="http://schemas.microsoft.com/office/drawing/2014/main" id="{242795A7-FC81-489D-B519-01F1D001E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73450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200025</xdr:colOff>
      <xdr:row>104</xdr:row>
      <xdr:rowOff>47625</xdr:rowOff>
    </xdr:from>
    <xdr:to>
      <xdr:col>65</xdr:col>
      <xdr:colOff>161925</xdr:colOff>
      <xdr:row>106</xdr:row>
      <xdr:rowOff>40481</xdr:rowOff>
    </xdr:to>
    <xdr:pic>
      <xdr:nvPicPr>
        <xdr:cNvPr id="235" name="Picture 1420" descr="red_12">
          <a:extLst>
            <a:ext uri="{FF2B5EF4-FFF2-40B4-BE49-F238E27FC236}">
              <a16:creationId xmlns:a16="http://schemas.microsoft.com/office/drawing/2014/main" id="{CDA0D041-73EF-4267-91B1-40825EEF6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17700625"/>
          <a:ext cx="228600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157</xdr:row>
      <xdr:rowOff>47625</xdr:rowOff>
    </xdr:from>
    <xdr:to>
      <xdr:col>65</xdr:col>
      <xdr:colOff>238125</xdr:colOff>
      <xdr:row>158</xdr:row>
      <xdr:rowOff>95249</xdr:rowOff>
    </xdr:to>
    <xdr:pic>
      <xdr:nvPicPr>
        <xdr:cNvPr id="236" name="Picture 1421" descr="red_13">
          <a:extLst>
            <a:ext uri="{FF2B5EF4-FFF2-40B4-BE49-F238E27FC236}">
              <a16:creationId xmlns:a16="http://schemas.microsoft.com/office/drawing/2014/main" id="{74CC80F4-AE67-4C20-B71A-3519582B4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65842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159</xdr:row>
      <xdr:rowOff>47625</xdr:rowOff>
    </xdr:from>
    <xdr:to>
      <xdr:col>65</xdr:col>
      <xdr:colOff>238125</xdr:colOff>
      <xdr:row>160</xdr:row>
      <xdr:rowOff>95250</xdr:rowOff>
    </xdr:to>
    <xdr:pic>
      <xdr:nvPicPr>
        <xdr:cNvPr id="237" name="Picture 1422" descr="red_14">
          <a:extLst>
            <a:ext uri="{FF2B5EF4-FFF2-40B4-BE49-F238E27FC236}">
              <a16:creationId xmlns:a16="http://schemas.microsoft.com/office/drawing/2014/main" id="{97B5E70E-55E8-4441-8BD4-E20B682B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69398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161</xdr:row>
      <xdr:rowOff>47625</xdr:rowOff>
    </xdr:from>
    <xdr:to>
      <xdr:col>65</xdr:col>
      <xdr:colOff>238125</xdr:colOff>
      <xdr:row>162</xdr:row>
      <xdr:rowOff>95249</xdr:rowOff>
    </xdr:to>
    <xdr:pic>
      <xdr:nvPicPr>
        <xdr:cNvPr id="238" name="Picture 1423" descr="red_15">
          <a:extLst>
            <a:ext uri="{FF2B5EF4-FFF2-40B4-BE49-F238E27FC236}">
              <a16:creationId xmlns:a16="http://schemas.microsoft.com/office/drawing/2014/main" id="{58BBC746-5D2D-4FBF-B8B0-4F917BFE3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72954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163</xdr:row>
      <xdr:rowOff>47625</xdr:rowOff>
    </xdr:from>
    <xdr:to>
      <xdr:col>65</xdr:col>
      <xdr:colOff>238125</xdr:colOff>
      <xdr:row>164</xdr:row>
      <xdr:rowOff>95250</xdr:rowOff>
    </xdr:to>
    <xdr:pic>
      <xdr:nvPicPr>
        <xdr:cNvPr id="239" name="Picture 1424" descr="red_16">
          <a:extLst>
            <a:ext uri="{FF2B5EF4-FFF2-40B4-BE49-F238E27FC236}">
              <a16:creationId xmlns:a16="http://schemas.microsoft.com/office/drawing/2014/main" id="{D6E9CFB5-C929-4984-BE9B-61AB5F957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76510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165</xdr:row>
      <xdr:rowOff>47625</xdr:rowOff>
    </xdr:from>
    <xdr:to>
      <xdr:col>65</xdr:col>
      <xdr:colOff>238125</xdr:colOff>
      <xdr:row>166</xdr:row>
      <xdr:rowOff>95249</xdr:rowOff>
    </xdr:to>
    <xdr:pic>
      <xdr:nvPicPr>
        <xdr:cNvPr id="240" name="Picture 1425" descr="red_17">
          <a:extLst>
            <a:ext uri="{FF2B5EF4-FFF2-40B4-BE49-F238E27FC236}">
              <a16:creationId xmlns:a16="http://schemas.microsoft.com/office/drawing/2014/main" id="{611C4004-5143-4442-BA32-5C768C604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80066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9525</xdr:colOff>
      <xdr:row>167</xdr:row>
      <xdr:rowOff>47625</xdr:rowOff>
    </xdr:from>
    <xdr:to>
      <xdr:col>65</xdr:col>
      <xdr:colOff>238125</xdr:colOff>
      <xdr:row>169</xdr:row>
      <xdr:rowOff>50006</xdr:rowOff>
    </xdr:to>
    <xdr:pic>
      <xdr:nvPicPr>
        <xdr:cNvPr id="241" name="Picture 1426" descr="red_18">
          <a:extLst>
            <a:ext uri="{FF2B5EF4-FFF2-40B4-BE49-F238E27FC236}">
              <a16:creationId xmlns:a16="http://schemas.microsoft.com/office/drawing/2014/main" id="{3B9C59A9-7853-4542-9F85-A26B347A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0575" y="28362275"/>
          <a:ext cx="228600" cy="230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218</xdr:row>
      <xdr:rowOff>47625</xdr:rowOff>
    </xdr:from>
    <xdr:to>
      <xdr:col>65</xdr:col>
      <xdr:colOff>190500</xdr:colOff>
      <xdr:row>219</xdr:row>
      <xdr:rowOff>95251</xdr:rowOff>
    </xdr:to>
    <xdr:pic>
      <xdr:nvPicPr>
        <xdr:cNvPr id="242" name="Picture 1427" descr="red_19">
          <a:extLst>
            <a:ext uri="{FF2B5EF4-FFF2-40B4-BE49-F238E27FC236}">
              <a16:creationId xmlns:a16="http://schemas.microsoft.com/office/drawing/2014/main" id="{39144A02-15B2-4621-AE7D-8BB32394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68903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220</xdr:row>
      <xdr:rowOff>47625</xdr:rowOff>
    </xdr:from>
    <xdr:to>
      <xdr:col>65</xdr:col>
      <xdr:colOff>190500</xdr:colOff>
      <xdr:row>221</xdr:row>
      <xdr:rowOff>95250</xdr:rowOff>
    </xdr:to>
    <xdr:pic>
      <xdr:nvPicPr>
        <xdr:cNvPr id="243" name="Picture 1428" descr="red_20">
          <a:extLst>
            <a:ext uri="{FF2B5EF4-FFF2-40B4-BE49-F238E27FC236}">
              <a16:creationId xmlns:a16="http://schemas.microsoft.com/office/drawing/2014/main" id="{1B0EC662-1067-4363-BEFF-B713D4E5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2459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222</xdr:row>
      <xdr:rowOff>47625</xdr:rowOff>
    </xdr:from>
    <xdr:to>
      <xdr:col>65</xdr:col>
      <xdr:colOff>190500</xdr:colOff>
      <xdr:row>223</xdr:row>
      <xdr:rowOff>95251</xdr:rowOff>
    </xdr:to>
    <xdr:pic>
      <xdr:nvPicPr>
        <xdr:cNvPr id="244" name="Picture 1429" descr="red_21">
          <a:extLst>
            <a:ext uri="{FF2B5EF4-FFF2-40B4-BE49-F238E27FC236}">
              <a16:creationId xmlns:a16="http://schemas.microsoft.com/office/drawing/2014/main" id="{58ADCF1B-4E81-4D9E-B3A3-49F30FD4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6015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224</xdr:row>
      <xdr:rowOff>47625</xdr:rowOff>
    </xdr:from>
    <xdr:to>
      <xdr:col>65</xdr:col>
      <xdr:colOff>190500</xdr:colOff>
      <xdr:row>225</xdr:row>
      <xdr:rowOff>95250</xdr:rowOff>
    </xdr:to>
    <xdr:pic>
      <xdr:nvPicPr>
        <xdr:cNvPr id="245" name="Picture 1430" descr="red_22">
          <a:extLst>
            <a:ext uri="{FF2B5EF4-FFF2-40B4-BE49-F238E27FC236}">
              <a16:creationId xmlns:a16="http://schemas.microsoft.com/office/drawing/2014/main" id="{C909678D-F1E0-4EA4-9BC6-E3C6F0F01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79571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226</xdr:row>
      <xdr:rowOff>47625</xdr:rowOff>
    </xdr:from>
    <xdr:to>
      <xdr:col>65</xdr:col>
      <xdr:colOff>190500</xdr:colOff>
      <xdr:row>227</xdr:row>
      <xdr:rowOff>95251</xdr:rowOff>
    </xdr:to>
    <xdr:pic>
      <xdr:nvPicPr>
        <xdr:cNvPr id="246" name="Picture 1431" descr="red_23">
          <a:extLst>
            <a:ext uri="{FF2B5EF4-FFF2-40B4-BE49-F238E27FC236}">
              <a16:creationId xmlns:a16="http://schemas.microsoft.com/office/drawing/2014/main" id="{2DBCFFD6-5471-4B2A-AE00-9E161F756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8312725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228600</xdr:colOff>
      <xdr:row>228</xdr:row>
      <xdr:rowOff>47625</xdr:rowOff>
    </xdr:from>
    <xdr:to>
      <xdr:col>65</xdr:col>
      <xdr:colOff>190500</xdr:colOff>
      <xdr:row>230</xdr:row>
      <xdr:rowOff>40481</xdr:rowOff>
    </xdr:to>
    <xdr:pic>
      <xdr:nvPicPr>
        <xdr:cNvPr id="247" name="Picture 1432" descr="red_24">
          <a:extLst>
            <a:ext uri="{FF2B5EF4-FFF2-40B4-BE49-F238E27FC236}">
              <a16:creationId xmlns:a16="http://schemas.microsoft.com/office/drawing/2014/main" id="{590D12DC-243A-4E15-8A3E-6CBA40229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2950" y="38668325"/>
          <a:ext cx="228600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281</xdr:row>
      <xdr:rowOff>47625</xdr:rowOff>
    </xdr:from>
    <xdr:to>
      <xdr:col>65</xdr:col>
      <xdr:colOff>152400</xdr:colOff>
      <xdr:row>282</xdr:row>
      <xdr:rowOff>95249</xdr:rowOff>
    </xdr:to>
    <xdr:pic>
      <xdr:nvPicPr>
        <xdr:cNvPr id="248" name="Picture 1433" descr="red_25">
          <a:extLst>
            <a:ext uri="{FF2B5EF4-FFF2-40B4-BE49-F238E27FC236}">
              <a16:creationId xmlns:a16="http://schemas.microsoft.com/office/drawing/2014/main" id="{16A81D4C-27DD-4B6F-B255-05E2DDCA8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75519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283</xdr:row>
      <xdr:rowOff>47625</xdr:rowOff>
    </xdr:from>
    <xdr:to>
      <xdr:col>65</xdr:col>
      <xdr:colOff>152400</xdr:colOff>
      <xdr:row>284</xdr:row>
      <xdr:rowOff>95250</xdr:rowOff>
    </xdr:to>
    <xdr:pic>
      <xdr:nvPicPr>
        <xdr:cNvPr id="249" name="Picture 1434" descr="red_26">
          <a:extLst>
            <a:ext uri="{FF2B5EF4-FFF2-40B4-BE49-F238E27FC236}">
              <a16:creationId xmlns:a16="http://schemas.microsoft.com/office/drawing/2014/main" id="{0E7F4C7A-9136-49DE-AC3A-59FE68B5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79075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285</xdr:row>
      <xdr:rowOff>47625</xdr:rowOff>
    </xdr:from>
    <xdr:to>
      <xdr:col>65</xdr:col>
      <xdr:colOff>152400</xdr:colOff>
      <xdr:row>286</xdr:row>
      <xdr:rowOff>95249</xdr:rowOff>
    </xdr:to>
    <xdr:pic>
      <xdr:nvPicPr>
        <xdr:cNvPr id="250" name="Picture 1435" descr="red_27">
          <a:extLst>
            <a:ext uri="{FF2B5EF4-FFF2-40B4-BE49-F238E27FC236}">
              <a16:creationId xmlns:a16="http://schemas.microsoft.com/office/drawing/2014/main" id="{CC82882F-EF72-4487-A5F2-2E1E119FD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2631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287</xdr:row>
      <xdr:rowOff>47625</xdr:rowOff>
    </xdr:from>
    <xdr:to>
      <xdr:col>65</xdr:col>
      <xdr:colOff>152400</xdr:colOff>
      <xdr:row>288</xdr:row>
      <xdr:rowOff>95250</xdr:rowOff>
    </xdr:to>
    <xdr:pic>
      <xdr:nvPicPr>
        <xdr:cNvPr id="251" name="Picture 1436" descr="red_28">
          <a:extLst>
            <a:ext uri="{FF2B5EF4-FFF2-40B4-BE49-F238E27FC236}">
              <a16:creationId xmlns:a16="http://schemas.microsoft.com/office/drawing/2014/main" id="{DE6EFBAF-A1E6-4D89-9797-22C29DF6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61877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289</xdr:row>
      <xdr:rowOff>47625</xdr:rowOff>
    </xdr:from>
    <xdr:to>
      <xdr:col>65</xdr:col>
      <xdr:colOff>152400</xdr:colOff>
      <xdr:row>290</xdr:row>
      <xdr:rowOff>95249</xdr:rowOff>
    </xdr:to>
    <xdr:pic>
      <xdr:nvPicPr>
        <xdr:cNvPr id="252" name="Picture 1437" descr="red_29">
          <a:extLst>
            <a:ext uri="{FF2B5EF4-FFF2-40B4-BE49-F238E27FC236}">
              <a16:creationId xmlns:a16="http://schemas.microsoft.com/office/drawing/2014/main" id="{E94712A9-3E77-4F63-9368-97A92A43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897437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190500</xdr:colOff>
      <xdr:row>291</xdr:row>
      <xdr:rowOff>47625</xdr:rowOff>
    </xdr:from>
    <xdr:to>
      <xdr:col>65</xdr:col>
      <xdr:colOff>152400</xdr:colOff>
      <xdr:row>293</xdr:row>
      <xdr:rowOff>50006</xdr:rowOff>
    </xdr:to>
    <xdr:pic>
      <xdr:nvPicPr>
        <xdr:cNvPr id="253" name="Picture 1438" descr="red_30">
          <a:extLst>
            <a:ext uri="{FF2B5EF4-FFF2-40B4-BE49-F238E27FC236}">
              <a16:creationId xmlns:a16="http://schemas.microsoft.com/office/drawing/2014/main" id="{5266193B-FF10-4A21-8396-198A0B84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4850" y="49329975"/>
          <a:ext cx="228600" cy="230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341</xdr:row>
      <xdr:rowOff>47625</xdr:rowOff>
    </xdr:from>
    <xdr:to>
      <xdr:col>65</xdr:col>
      <xdr:colOff>257175</xdr:colOff>
      <xdr:row>342</xdr:row>
      <xdr:rowOff>95249</xdr:rowOff>
    </xdr:to>
    <xdr:pic>
      <xdr:nvPicPr>
        <xdr:cNvPr id="254" name="Picture 1439" descr="red_31">
          <a:extLst>
            <a:ext uri="{FF2B5EF4-FFF2-40B4-BE49-F238E27FC236}">
              <a16:creationId xmlns:a16="http://schemas.microsoft.com/office/drawing/2014/main" id="{81B2104B-8280-4619-B8B0-BDDAF529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76802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343</xdr:row>
      <xdr:rowOff>47625</xdr:rowOff>
    </xdr:from>
    <xdr:to>
      <xdr:col>65</xdr:col>
      <xdr:colOff>257175</xdr:colOff>
      <xdr:row>344</xdr:row>
      <xdr:rowOff>95250</xdr:rowOff>
    </xdr:to>
    <xdr:pic>
      <xdr:nvPicPr>
        <xdr:cNvPr id="255" name="Picture 1440" descr="red_32">
          <a:extLst>
            <a:ext uri="{FF2B5EF4-FFF2-40B4-BE49-F238E27FC236}">
              <a16:creationId xmlns:a16="http://schemas.microsoft.com/office/drawing/2014/main" id="{FED5BD13-DAE6-49A3-B65C-E63890D8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0358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345</xdr:row>
      <xdr:rowOff>47625</xdr:rowOff>
    </xdr:from>
    <xdr:to>
      <xdr:col>65</xdr:col>
      <xdr:colOff>257175</xdr:colOff>
      <xdr:row>346</xdr:row>
      <xdr:rowOff>95249</xdr:rowOff>
    </xdr:to>
    <xdr:pic>
      <xdr:nvPicPr>
        <xdr:cNvPr id="256" name="Picture 1441" descr="red_33">
          <a:extLst>
            <a:ext uri="{FF2B5EF4-FFF2-40B4-BE49-F238E27FC236}">
              <a16:creationId xmlns:a16="http://schemas.microsoft.com/office/drawing/2014/main" id="{11B92C7D-9764-4CB1-ABAE-F9428FF04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3914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347</xdr:row>
      <xdr:rowOff>47625</xdr:rowOff>
    </xdr:from>
    <xdr:to>
      <xdr:col>65</xdr:col>
      <xdr:colOff>257175</xdr:colOff>
      <xdr:row>348</xdr:row>
      <xdr:rowOff>95250</xdr:rowOff>
    </xdr:to>
    <xdr:pic>
      <xdr:nvPicPr>
        <xdr:cNvPr id="257" name="Picture 1442" descr="red_34">
          <a:extLst>
            <a:ext uri="{FF2B5EF4-FFF2-40B4-BE49-F238E27FC236}">
              <a16:creationId xmlns:a16="http://schemas.microsoft.com/office/drawing/2014/main" id="{9930A29D-1EB4-426C-ACDF-E9D663F63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87470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349</xdr:row>
      <xdr:rowOff>47625</xdr:rowOff>
    </xdr:from>
    <xdr:to>
      <xdr:col>65</xdr:col>
      <xdr:colOff>257175</xdr:colOff>
      <xdr:row>350</xdr:row>
      <xdr:rowOff>95249</xdr:rowOff>
    </xdr:to>
    <xdr:pic>
      <xdr:nvPicPr>
        <xdr:cNvPr id="258" name="Picture 1443" descr="red_35">
          <a:extLst>
            <a:ext uri="{FF2B5EF4-FFF2-40B4-BE49-F238E27FC236}">
              <a16:creationId xmlns:a16="http://schemas.microsoft.com/office/drawing/2014/main" id="{9DE5DE63-FB9E-438F-97C4-211B04008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9102625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28575</xdr:colOff>
      <xdr:row>351</xdr:row>
      <xdr:rowOff>47625</xdr:rowOff>
    </xdr:from>
    <xdr:to>
      <xdr:col>65</xdr:col>
      <xdr:colOff>257175</xdr:colOff>
      <xdr:row>352</xdr:row>
      <xdr:rowOff>95250</xdr:rowOff>
    </xdr:to>
    <xdr:pic>
      <xdr:nvPicPr>
        <xdr:cNvPr id="259" name="Picture 1444" descr="red_36">
          <a:extLst>
            <a:ext uri="{FF2B5EF4-FFF2-40B4-BE49-F238E27FC236}">
              <a16:creationId xmlns:a16="http://schemas.microsoft.com/office/drawing/2014/main" id="{7867738A-CE65-41B7-A2F0-BD724C6E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625" y="59458225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119063</xdr:colOff>
      <xdr:row>36</xdr:row>
      <xdr:rowOff>95250</xdr:rowOff>
    </xdr:from>
    <xdr:to>
      <xdr:col>17</xdr:col>
      <xdr:colOff>130970</xdr:colOff>
      <xdr:row>47</xdr:row>
      <xdr:rowOff>71438</xdr:rowOff>
    </xdr:to>
    <xdr:sp macro="" textlink="">
      <xdr:nvSpPr>
        <xdr:cNvPr id="260" name="フリーフォーム: 図形 259">
          <a:extLst>
            <a:ext uri="{FF2B5EF4-FFF2-40B4-BE49-F238E27FC236}">
              <a16:creationId xmlns:a16="http://schemas.microsoft.com/office/drawing/2014/main" id="{E7FC4C7B-7CC5-421F-97A6-B2ECDE497F25}"/>
            </a:ext>
          </a:extLst>
        </xdr:cNvPr>
        <xdr:cNvSpPr/>
      </xdr:nvSpPr>
      <xdr:spPr bwMode="auto">
        <a:xfrm>
          <a:off x="2316163" y="6197600"/>
          <a:ext cx="1612107" cy="1804988"/>
        </a:xfrm>
        <a:custGeom>
          <a:avLst/>
          <a:gdLst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23812 w 1774031"/>
            <a:gd name="connsiteY0" fmla="*/ 631031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7" fmla="*/ 23812 w 1774031"/>
            <a:gd name="connsiteY7" fmla="*/ 631031 h 1297781"/>
            <a:gd name="connsiteX0" fmla="*/ 11906 w 1774031"/>
            <a:gd name="connsiteY0" fmla="*/ 690563 h 1297781"/>
            <a:gd name="connsiteX1" fmla="*/ 0 w 1774031"/>
            <a:gd name="connsiteY1" fmla="*/ 1297781 h 1297781"/>
            <a:gd name="connsiteX2" fmla="*/ 1762125 w 1774031"/>
            <a:gd name="connsiteY2" fmla="*/ 1297781 h 1297781"/>
            <a:gd name="connsiteX3" fmla="*/ 1774031 w 1774031"/>
            <a:gd name="connsiteY3" fmla="*/ 0 h 1297781"/>
            <a:gd name="connsiteX4" fmla="*/ 1071562 w 1774031"/>
            <a:gd name="connsiteY4" fmla="*/ 59531 h 1297781"/>
            <a:gd name="connsiteX5" fmla="*/ 845343 w 1774031"/>
            <a:gd name="connsiteY5" fmla="*/ 535781 h 1297781"/>
            <a:gd name="connsiteX6" fmla="*/ 11906 w 1774031"/>
            <a:gd name="connsiteY6" fmla="*/ 690563 h 1297781"/>
            <a:gd name="connsiteX0" fmla="*/ 11906 w 2214562"/>
            <a:gd name="connsiteY0" fmla="*/ 631032 h 1238250"/>
            <a:gd name="connsiteX1" fmla="*/ 0 w 2214562"/>
            <a:gd name="connsiteY1" fmla="*/ 1238250 h 1238250"/>
            <a:gd name="connsiteX2" fmla="*/ 1762125 w 2214562"/>
            <a:gd name="connsiteY2" fmla="*/ 1238250 h 1238250"/>
            <a:gd name="connsiteX3" fmla="*/ 2214562 w 2214562"/>
            <a:gd name="connsiteY3" fmla="*/ 71438 h 1238250"/>
            <a:gd name="connsiteX4" fmla="*/ 1071562 w 2214562"/>
            <a:gd name="connsiteY4" fmla="*/ 0 h 1238250"/>
            <a:gd name="connsiteX5" fmla="*/ 845343 w 2214562"/>
            <a:gd name="connsiteY5" fmla="*/ 476250 h 1238250"/>
            <a:gd name="connsiteX6" fmla="*/ 11906 w 2214562"/>
            <a:gd name="connsiteY6" fmla="*/ 631032 h 1238250"/>
            <a:gd name="connsiteX0" fmla="*/ 11906 w 2214562"/>
            <a:gd name="connsiteY0" fmla="*/ 1047751 h 1654969"/>
            <a:gd name="connsiteX1" fmla="*/ 0 w 2214562"/>
            <a:gd name="connsiteY1" fmla="*/ 1654969 h 1654969"/>
            <a:gd name="connsiteX2" fmla="*/ 1762125 w 2214562"/>
            <a:gd name="connsiteY2" fmla="*/ 1654969 h 1654969"/>
            <a:gd name="connsiteX3" fmla="*/ 2214562 w 2214562"/>
            <a:gd name="connsiteY3" fmla="*/ 488157 h 1654969"/>
            <a:gd name="connsiteX4" fmla="*/ 1666874 w 2214562"/>
            <a:gd name="connsiteY4" fmla="*/ 0 h 1654969"/>
            <a:gd name="connsiteX5" fmla="*/ 845343 w 2214562"/>
            <a:gd name="connsiteY5" fmla="*/ 892969 h 1654969"/>
            <a:gd name="connsiteX6" fmla="*/ 11906 w 2214562"/>
            <a:gd name="connsiteY6" fmla="*/ 1047751 h 1654969"/>
            <a:gd name="connsiteX0" fmla="*/ 11906 w 2214562"/>
            <a:gd name="connsiteY0" fmla="*/ 1214438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6" fmla="*/ 11906 w 2214562"/>
            <a:gd name="connsiteY6" fmla="*/ 1214438 h 1821656"/>
            <a:gd name="connsiteX0" fmla="*/ 523875 w 2214562"/>
            <a:gd name="connsiteY0" fmla="*/ 0 h 1821656"/>
            <a:gd name="connsiteX1" fmla="*/ 0 w 2214562"/>
            <a:gd name="connsiteY1" fmla="*/ 1821656 h 1821656"/>
            <a:gd name="connsiteX2" fmla="*/ 1762125 w 2214562"/>
            <a:gd name="connsiteY2" fmla="*/ 1821656 h 1821656"/>
            <a:gd name="connsiteX3" fmla="*/ 2214562 w 2214562"/>
            <a:gd name="connsiteY3" fmla="*/ 654844 h 1821656"/>
            <a:gd name="connsiteX4" fmla="*/ 1666874 w 2214562"/>
            <a:gd name="connsiteY4" fmla="*/ 166687 h 1821656"/>
            <a:gd name="connsiteX5" fmla="*/ 523875 w 2214562"/>
            <a:gd name="connsiteY5" fmla="*/ 0 h 1821656"/>
            <a:gd name="connsiteX0" fmla="*/ 0 w 1690687"/>
            <a:gd name="connsiteY0" fmla="*/ 0 h 1821656"/>
            <a:gd name="connsiteX1" fmla="*/ 35718 w 1690687"/>
            <a:gd name="connsiteY1" fmla="*/ 1785938 h 1821656"/>
            <a:gd name="connsiteX2" fmla="*/ 1238250 w 1690687"/>
            <a:gd name="connsiteY2" fmla="*/ 1821656 h 1821656"/>
            <a:gd name="connsiteX3" fmla="*/ 1690687 w 1690687"/>
            <a:gd name="connsiteY3" fmla="*/ 654844 h 1821656"/>
            <a:gd name="connsiteX4" fmla="*/ 1142999 w 1690687"/>
            <a:gd name="connsiteY4" fmla="*/ 166687 h 1821656"/>
            <a:gd name="connsiteX5" fmla="*/ 0 w 1690687"/>
            <a:gd name="connsiteY5" fmla="*/ 0 h 1821656"/>
            <a:gd name="connsiteX0" fmla="*/ 0 w 1690687"/>
            <a:gd name="connsiteY0" fmla="*/ 0 h 1845470"/>
            <a:gd name="connsiteX1" fmla="*/ 35718 w 1690687"/>
            <a:gd name="connsiteY1" fmla="*/ 1845470 h 1845470"/>
            <a:gd name="connsiteX2" fmla="*/ 1238250 w 1690687"/>
            <a:gd name="connsiteY2" fmla="*/ 1821656 h 1845470"/>
            <a:gd name="connsiteX3" fmla="*/ 1690687 w 1690687"/>
            <a:gd name="connsiteY3" fmla="*/ 654844 h 1845470"/>
            <a:gd name="connsiteX4" fmla="*/ 1142999 w 1690687"/>
            <a:gd name="connsiteY4" fmla="*/ 166687 h 1845470"/>
            <a:gd name="connsiteX5" fmla="*/ 0 w 1690687"/>
            <a:gd name="connsiteY5" fmla="*/ 0 h 1845470"/>
            <a:gd name="connsiteX0" fmla="*/ 0 w 1619250"/>
            <a:gd name="connsiteY0" fmla="*/ 0 h 1845470"/>
            <a:gd name="connsiteX1" fmla="*/ 35718 w 1619250"/>
            <a:gd name="connsiteY1" fmla="*/ 1845470 h 1845470"/>
            <a:gd name="connsiteX2" fmla="*/ 1238250 w 1619250"/>
            <a:gd name="connsiteY2" fmla="*/ 1821656 h 1845470"/>
            <a:gd name="connsiteX3" fmla="*/ 1619250 w 1619250"/>
            <a:gd name="connsiteY3" fmla="*/ 595313 h 1845470"/>
            <a:gd name="connsiteX4" fmla="*/ 1142999 w 1619250"/>
            <a:gd name="connsiteY4" fmla="*/ 166687 h 1845470"/>
            <a:gd name="connsiteX5" fmla="*/ 0 w 1619250"/>
            <a:gd name="connsiteY5" fmla="*/ 0 h 1845470"/>
            <a:gd name="connsiteX0" fmla="*/ 0 w 1595438"/>
            <a:gd name="connsiteY0" fmla="*/ 0 h 1809751"/>
            <a:gd name="connsiteX1" fmla="*/ 11906 w 1595438"/>
            <a:gd name="connsiteY1" fmla="*/ 1809751 h 1809751"/>
            <a:gd name="connsiteX2" fmla="*/ 1214438 w 1595438"/>
            <a:gd name="connsiteY2" fmla="*/ 1785937 h 1809751"/>
            <a:gd name="connsiteX3" fmla="*/ 1595438 w 1595438"/>
            <a:gd name="connsiteY3" fmla="*/ 559594 h 1809751"/>
            <a:gd name="connsiteX4" fmla="*/ 1119187 w 1595438"/>
            <a:gd name="connsiteY4" fmla="*/ 130968 h 1809751"/>
            <a:gd name="connsiteX5" fmla="*/ 0 w 1595438"/>
            <a:gd name="connsiteY5" fmla="*/ 0 h 18097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95438" h="1809751">
              <a:moveTo>
                <a:pt x="0" y="0"/>
              </a:moveTo>
              <a:cubicBezTo>
                <a:pt x="3969" y="603250"/>
                <a:pt x="7937" y="1206501"/>
                <a:pt x="11906" y="1809751"/>
              </a:cubicBezTo>
              <a:lnTo>
                <a:pt x="1214438" y="1785937"/>
              </a:lnTo>
              <a:lnTo>
                <a:pt x="1595438" y="559594"/>
              </a:lnTo>
              <a:lnTo>
                <a:pt x="1119187" y="130968"/>
              </a:lnTo>
              <a:lnTo>
                <a:pt x="0" y="0"/>
              </a:lnTo>
              <a:close/>
            </a:path>
          </a:pathLst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67</xdr:col>
      <xdr:colOff>59530</xdr:colOff>
      <xdr:row>39</xdr:row>
      <xdr:rowOff>11906</xdr:rowOff>
    </xdr:from>
    <xdr:to>
      <xdr:col>84</xdr:col>
      <xdr:colOff>156324</xdr:colOff>
      <xdr:row>57</xdr:row>
      <xdr:rowOff>145018</xdr:rowOff>
    </xdr:to>
    <xdr:grpSp>
      <xdr:nvGrpSpPr>
        <xdr:cNvPr id="261" name="グループ化 260">
          <a:extLst>
            <a:ext uri="{FF2B5EF4-FFF2-40B4-BE49-F238E27FC236}">
              <a16:creationId xmlns:a16="http://schemas.microsoft.com/office/drawing/2014/main" id="{1B569F9E-FFDA-4D32-8870-DE3B268E3FBD}"/>
            </a:ext>
          </a:extLst>
        </xdr:cNvPr>
        <xdr:cNvGrpSpPr/>
      </xdr:nvGrpSpPr>
      <xdr:grpSpPr>
        <a:xfrm>
          <a:off x="14775655" y="6536531"/>
          <a:ext cx="4684669" cy="3133487"/>
          <a:chOff x="10420350" y="657225"/>
          <a:chExt cx="4549731" cy="3216831"/>
        </a:xfrm>
      </xdr:grpSpPr>
      <xdr:pic>
        <xdr:nvPicPr>
          <xdr:cNvPr id="262" name="図 261">
            <a:extLst>
              <a:ext uri="{FF2B5EF4-FFF2-40B4-BE49-F238E27FC236}">
                <a16:creationId xmlns:a16="http://schemas.microsoft.com/office/drawing/2014/main" id="{280E1143-5A4D-4844-B949-339C074C60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10420350" y="657225"/>
            <a:ext cx="4549731" cy="3216831"/>
          </a:xfrm>
          <a:prstGeom prst="rect">
            <a:avLst/>
          </a:prstGeom>
          <a:ln w="2857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</a:ln>
        </xdr:spPr>
      </xdr:pic>
      <xdr:sp macro="" textlink="">
        <xdr:nvSpPr>
          <xdr:cNvPr id="263" name="テキスト ボックス 262">
            <a:extLst>
              <a:ext uri="{FF2B5EF4-FFF2-40B4-BE49-F238E27FC236}">
                <a16:creationId xmlns:a16="http://schemas.microsoft.com/office/drawing/2014/main" id="{4C1A4438-9391-4DBD-B481-E2E891DD86FF}"/>
              </a:ext>
            </a:extLst>
          </xdr:cNvPr>
          <xdr:cNvSpPr txBox="1"/>
        </xdr:nvSpPr>
        <xdr:spPr>
          <a:xfrm>
            <a:off x="10582275" y="2438400"/>
            <a:ext cx="2294474" cy="825867"/>
          </a:xfrm>
          <a:prstGeom prst="rect">
            <a:avLst/>
          </a:prstGeom>
          <a:solidFill>
            <a:schemeClr val="bg1"/>
          </a:solidFill>
          <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新しい</a:t>
            </a:r>
            <a:r>
              <a:rPr kumimoji="1" lang="en-US" altLang="ja-JP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Office</a:t>
            </a:r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では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「頂点の追加」をしてから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図形を変形させると</a:t>
            </a:r>
            <a:endParaRPr kumimoji="1" lang="en-US" altLang="ja-JP" sz="11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r>
              <a:rPr kumimoji="1" lang="ja-JP" altLang="en-US" sz="11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片方が「曲線」になることを防げます</a:t>
            </a:r>
          </a:p>
        </xdr:txBody>
      </xdr:sp>
    </xdr:grpSp>
    <xdr:clientData/>
  </xdr:twoCellAnchor>
  <xdr:twoCellAnchor>
    <xdr:from>
      <xdr:col>22</xdr:col>
      <xdr:colOff>107155</xdr:colOff>
      <xdr:row>38</xdr:row>
      <xdr:rowOff>85725</xdr:rowOff>
    </xdr:from>
    <xdr:to>
      <xdr:col>24</xdr:col>
      <xdr:colOff>121444</xdr:colOff>
      <xdr:row>39</xdr:row>
      <xdr:rowOff>47626</xdr:rowOff>
    </xdr:to>
    <xdr:sp macro="" textlink="">
      <xdr:nvSpPr>
        <xdr:cNvPr id="264" name="Line 811">
          <a:extLst>
            <a:ext uri="{FF2B5EF4-FFF2-40B4-BE49-F238E27FC236}">
              <a16:creationId xmlns:a16="http://schemas.microsoft.com/office/drawing/2014/main" id="{CF85F0FA-7FEE-426C-9CDB-09061DF9AA8D}"/>
            </a:ext>
          </a:extLst>
        </xdr:cNvPr>
        <xdr:cNvSpPr>
          <a:spLocks noChangeShapeType="1"/>
        </xdr:cNvSpPr>
      </xdr:nvSpPr>
      <xdr:spPr bwMode="auto">
        <a:xfrm flipH="1">
          <a:off x="5047455" y="6543675"/>
          <a:ext cx="471489" cy="139701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83342</xdr:colOff>
      <xdr:row>39</xdr:row>
      <xdr:rowOff>166688</xdr:rowOff>
    </xdr:from>
    <xdr:to>
      <xdr:col>21</xdr:col>
      <xdr:colOff>216694</xdr:colOff>
      <xdr:row>40</xdr:row>
      <xdr:rowOff>121444</xdr:rowOff>
    </xdr:to>
    <xdr:sp macro="" textlink="">
      <xdr:nvSpPr>
        <xdr:cNvPr id="265" name="Line 812">
          <a:extLst>
            <a:ext uri="{FF2B5EF4-FFF2-40B4-BE49-F238E27FC236}">
              <a16:creationId xmlns:a16="http://schemas.microsoft.com/office/drawing/2014/main" id="{AE116B68-E450-4A84-8EB2-07833E019909}"/>
            </a:ext>
          </a:extLst>
        </xdr:cNvPr>
        <xdr:cNvSpPr>
          <a:spLocks noChangeShapeType="1"/>
        </xdr:cNvSpPr>
      </xdr:nvSpPr>
      <xdr:spPr bwMode="auto">
        <a:xfrm flipH="1" flipV="1">
          <a:off x="4566442" y="6802438"/>
          <a:ext cx="361952" cy="1325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119062</xdr:colOff>
      <xdr:row>41</xdr:row>
      <xdr:rowOff>154782</xdr:rowOff>
    </xdr:from>
    <xdr:to>
      <xdr:col>21</xdr:col>
      <xdr:colOff>35719</xdr:colOff>
      <xdr:row>42</xdr:row>
      <xdr:rowOff>59532</xdr:rowOff>
    </xdr:to>
    <xdr:sp macro="" textlink="">
      <xdr:nvSpPr>
        <xdr:cNvPr id="266" name="Line 815">
          <a:extLst>
            <a:ext uri="{FF2B5EF4-FFF2-40B4-BE49-F238E27FC236}">
              <a16:creationId xmlns:a16="http://schemas.microsoft.com/office/drawing/2014/main" id="{C49C03A0-9D7D-4F7C-AD21-60CAE060BC41}"/>
            </a:ext>
          </a:extLst>
        </xdr:cNvPr>
        <xdr:cNvSpPr>
          <a:spLocks noChangeShapeType="1"/>
        </xdr:cNvSpPr>
      </xdr:nvSpPr>
      <xdr:spPr bwMode="auto">
        <a:xfrm flipH="1">
          <a:off x="4373562" y="7146132"/>
          <a:ext cx="373857" cy="825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44</xdr:row>
      <xdr:rowOff>47625</xdr:rowOff>
    </xdr:from>
    <xdr:to>
      <xdr:col>22</xdr:col>
      <xdr:colOff>130968</xdr:colOff>
      <xdr:row>44</xdr:row>
      <xdr:rowOff>71438</xdr:rowOff>
    </xdr:to>
    <xdr:sp macro="" textlink="">
      <xdr:nvSpPr>
        <xdr:cNvPr id="267" name="Line 816">
          <a:extLst>
            <a:ext uri="{FF2B5EF4-FFF2-40B4-BE49-F238E27FC236}">
              <a16:creationId xmlns:a16="http://schemas.microsoft.com/office/drawing/2014/main" id="{D5B09E7D-5AC8-4EA7-A32F-6C7D5F84439B}"/>
            </a:ext>
          </a:extLst>
        </xdr:cNvPr>
        <xdr:cNvSpPr>
          <a:spLocks noChangeShapeType="1"/>
        </xdr:cNvSpPr>
      </xdr:nvSpPr>
      <xdr:spPr bwMode="auto">
        <a:xfrm flipH="1" flipV="1">
          <a:off x="4530725" y="7451725"/>
          <a:ext cx="540543" cy="23813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119063</xdr:colOff>
      <xdr:row>35</xdr:row>
      <xdr:rowOff>61911</xdr:rowOff>
    </xdr:from>
    <xdr:to>
      <xdr:col>25</xdr:col>
      <xdr:colOff>121445</xdr:colOff>
      <xdr:row>37</xdr:row>
      <xdr:rowOff>83342</xdr:rowOff>
    </xdr:to>
    <xdr:sp macro="" textlink="">
      <xdr:nvSpPr>
        <xdr:cNvPr id="268" name="Line 818">
          <a:extLst>
            <a:ext uri="{FF2B5EF4-FFF2-40B4-BE49-F238E27FC236}">
              <a16:creationId xmlns:a16="http://schemas.microsoft.com/office/drawing/2014/main" id="{8121E6B8-1A3C-4AF9-8BFF-816758C20DE4}"/>
            </a:ext>
          </a:extLst>
        </xdr:cNvPr>
        <xdr:cNvSpPr>
          <a:spLocks noChangeShapeType="1"/>
        </xdr:cNvSpPr>
      </xdr:nvSpPr>
      <xdr:spPr bwMode="auto">
        <a:xfrm flipH="1">
          <a:off x="5516563" y="5986461"/>
          <a:ext cx="230982" cy="377031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24</xdr:col>
      <xdr:colOff>209552</xdr:colOff>
      <xdr:row>34</xdr:row>
      <xdr:rowOff>150018</xdr:rowOff>
    </xdr:from>
    <xdr:to>
      <xdr:col>25</xdr:col>
      <xdr:colOff>209551</xdr:colOff>
      <xdr:row>36</xdr:row>
      <xdr:rowOff>19050</xdr:rowOff>
    </xdr:to>
    <xdr:pic>
      <xdr:nvPicPr>
        <xdr:cNvPr id="269" name="Picture 849" descr="red_01">
          <a:extLst>
            <a:ext uri="{FF2B5EF4-FFF2-40B4-BE49-F238E27FC236}">
              <a16:creationId xmlns:a16="http://schemas.microsoft.com/office/drawing/2014/main" id="{B466F50C-117D-4031-857E-31B9DBE6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7052" y="5896768"/>
          <a:ext cx="228599" cy="22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114301</xdr:colOff>
      <xdr:row>38</xdr:row>
      <xdr:rowOff>7144</xdr:rowOff>
    </xdr:from>
    <xdr:to>
      <xdr:col>24</xdr:col>
      <xdr:colOff>114301</xdr:colOff>
      <xdr:row>39</xdr:row>
      <xdr:rowOff>54769</xdr:rowOff>
    </xdr:to>
    <xdr:pic>
      <xdr:nvPicPr>
        <xdr:cNvPr id="270" name="Picture 850" descr="red_02">
          <a:extLst>
            <a:ext uri="{FF2B5EF4-FFF2-40B4-BE49-F238E27FC236}">
              <a16:creationId xmlns:a16="http://schemas.microsoft.com/office/drawing/2014/main" id="{0F84A61D-B86A-4278-8325-CC9663FF2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1" y="6465094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90487</xdr:colOff>
      <xdr:row>40</xdr:row>
      <xdr:rowOff>7143</xdr:rowOff>
    </xdr:from>
    <xdr:to>
      <xdr:col>22</xdr:col>
      <xdr:colOff>90486</xdr:colOff>
      <xdr:row>41</xdr:row>
      <xdr:rowOff>54768</xdr:rowOff>
    </xdr:to>
    <xdr:pic>
      <xdr:nvPicPr>
        <xdr:cNvPr id="271" name="Picture 851" descr="red_03">
          <a:extLst>
            <a:ext uri="{FF2B5EF4-FFF2-40B4-BE49-F238E27FC236}">
              <a16:creationId xmlns:a16="http://schemas.microsoft.com/office/drawing/2014/main" id="{0B9DA434-6342-419A-BF0D-031FE4EEB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2187" y="6820693"/>
          <a:ext cx="228599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78582</xdr:colOff>
      <xdr:row>40</xdr:row>
      <xdr:rowOff>66674</xdr:rowOff>
    </xdr:from>
    <xdr:to>
      <xdr:col>23</xdr:col>
      <xdr:colOff>78581</xdr:colOff>
      <xdr:row>41</xdr:row>
      <xdr:rowOff>114298</xdr:rowOff>
    </xdr:to>
    <xdr:pic>
      <xdr:nvPicPr>
        <xdr:cNvPr id="272" name="Picture 852" descr="red_04">
          <a:extLst>
            <a:ext uri="{FF2B5EF4-FFF2-40B4-BE49-F238E27FC236}">
              <a16:creationId xmlns:a16="http://schemas.microsoft.com/office/drawing/2014/main" id="{A272EDC1-AC8C-4F8F-BE6A-2CA357662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882" y="6880224"/>
          <a:ext cx="228599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138114</xdr:colOff>
      <xdr:row>41</xdr:row>
      <xdr:rowOff>42863</xdr:rowOff>
    </xdr:from>
    <xdr:to>
      <xdr:col>21</xdr:col>
      <xdr:colOff>138113</xdr:colOff>
      <xdr:row>42</xdr:row>
      <xdr:rowOff>92869</xdr:rowOff>
    </xdr:to>
    <xdr:pic>
      <xdr:nvPicPr>
        <xdr:cNvPr id="273" name="Picture 853" descr="red_05">
          <a:extLst>
            <a:ext uri="{FF2B5EF4-FFF2-40B4-BE49-F238E27FC236}">
              <a16:creationId xmlns:a16="http://schemas.microsoft.com/office/drawing/2014/main" id="{ACF06112-8B32-41E1-8738-5EA5633B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1214" y="7034213"/>
          <a:ext cx="228599" cy="22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161926</xdr:colOff>
      <xdr:row>43</xdr:row>
      <xdr:rowOff>11907</xdr:rowOff>
    </xdr:from>
    <xdr:to>
      <xdr:col>22</xdr:col>
      <xdr:colOff>161925</xdr:colOff>
      <xdr:row>45</xdr:row>
      <xdr:rowOff>7144</xdr:rowOff>
    </xdr:to>
    <xdr:pic>
      <xdr:nvPicPr>
        <xdr:cNvPr id="274" name="Picture 854" descr="red_06">
          <a:extLst>
            <a:ext uri="{FF2B5EF4-FFF2-40B4-BE49-F238E27FC236}">
              <a16:creationId xmlns:a16="http://schemas.microsoft.com/office/drawing/2014/main" id="{9C6660A3-EEE1-44FB-904D-9744A66BB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3626" y="7358857"/>
          <a:ext cx="228599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119061</xdr:colOff>
      <xdr:row>116</xdr:row>
      <xdr:rowOff>107157</xdr:rowOff>
    </xdr:from>
    <xdr:to>
      <xdr:col>14</xdr:col>
      <xdr:colOff>128588</xdr:colOff>
      <xdr:row>118</xdr:row>
      <xdr:rowOff>104776</xdr:rowOff>
    </xdr:to>
    <xdr:sp macro="" textlink="">
      <xdr:nvSpPr>
        <xdr:cNvPr id="275" name="Line 1133">
          <a:extLst>
            <a:ext uri="{FF2B5EF4-FFF2-40B4-BE49-F238E27FC236}">
              <a16:creationId xmlns:a16="http://schemas.microsoft.com/office/drawing/2014/main" id="{DB16BF52-6FBF-4CF0-A025-147EA51364CF}"/>
            </a:ext>
          </a:extLst>
        </xdr:cNvPr>
        <xdr:cNvSpPr>
          <a:spLocks noChangeShapeType="1"/>
        </xdr:cNvSpPr>
      </xdr:nvSpPr>
      <xdr:spPr bwMode="auto">
        <a:xfrm flipH="1" flipV="1">
          <a:off x="3230561" y="19766757"/>
          <a:ext cx="9527" cy="35321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152400</xdr:colOff>
      <xdr:row>119</xdr:row>
      <xdr:rowOff>119062</xdr:rowOff>
    </xdr:from>
    <xdr:to>
      <xdr:col>15</xdr:col>
      <xdr:colOff>178592</xdr:colOff>
      <xdr:row>121</xdr:row>
      <xdr:rowOff>176213</xdr:rowOff>
    </xdr:to>
    <xdr:sp macro="" textlink="">
      <xdr:nvSpPr>
        <xdr:cNvPr id="276" name="Line 1134">
          <a:extLst>
            <a:ext uri="{FF2B5EF4-FFF2-40B4-BE49-F238E27FC236}">
              <a16:creationId xmlns:a16="http://schemas.microsoft.com/office/drawing/2014/main" id="{CE54D268-DC0F-4D58-85CE-505F967E11D3}"/>
            </a:ext>
          </a:extLst>
        </xdr:cNvPr>
        <xdr:cNvSpPr>
          <a:spLocks noChangeShapeType="1"/>
        </xdr:cNvSpPr>
      </xdr:nvSpPr>
      <xdr:spPr bwMode="auto">
        <a:xfrm flipV="1">
          <a:off x="3263900" y="20312062"/>
          <a:ext cx="254792" cy="412751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26194</xdr:colOff>
      <xdr:row>118</xdr:row>
      <xdr:rowOff>2382</xdr:rowOff>
    </xdr:from>
    <xdr:to>
      <xdr:col>15</xdr:col>
      <xdr:colOff>26193</xdr:colOff>
      <xdr:row>119</xdr:row>
      <xdr:rowOff>50007</xdr:rowOff>
    </xdr:to>
    <xdr:pic>
      <xdr:nvPicPr>
        <xdr:cNvPr id="277" name="Picture 1139" descr="red_07">
          <a:extLst>
            <a:ext uri="{FF2B5EF4-FFF2-40B4-BE49-F238E27FC236}">
              <a16:creationId xmlns:a16="http://schemas.microsoft.com/office/drawing/2014/main" id="{DE613CC3-5B9B-456E-B0FC-F90C12A3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94" y="20017582"/>
          <a:ext cx="228599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85726</xdr:colOff>
      <xdr:row>121</xdr:row>
      <xdr:rowOff>14287</xdr:rowOff>
    </xdr:from>
    <xdr:to>
      <xdr:col>15</xdr:col>
      <xdr:colOff>85725</xdr:colOff>
      <xdr:row>122</xdr:row>
      <xdr:rowOff>61911</xdr:rowOff>
    </xdr:to>
    <xdr:pic>
      <xdr:nvPicPr>
        <xdr:cNvPr id="278" name="Picture 1140" descr="red_08">
          <a:extLst>
            <a:ext uri="{FF2B5EF4-FFF2-40B4-BE49-F238E27FC236}">
              <a16:creationId xmlns:a16="http://schemas.microsoft.com/office/drawing/2014/main" id="{C253DE77-6261-4254-ABC9-BC3468CC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7226" y="20562887"/>
          <a:ext cx="228599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158</xdr:row>
      <xdr:rowOff>83343</xdr:rowOff>
    </xdr:from>
    <xdr:to>
      <xdr:col>3</xdr:col>
      <xdr:colOff>123824</xdr:colOff>
      <xdr:row>160</xdr:row>
      <xdr:rowOff>35719</xdr:rowOff>
    </xdr:to>
    <xdr:sp macro="" textlink="">
      <xdr:nvSpPr>
        <xdr:cNvPr id="279" name="Line 1145">
          <a:extLst>
            <a:ext uri="{FF2B5EF4-FFF2-40B4-BE49-F238E27FC236}">
              <a16:creationId xmlns:a16="http://schemas.microsoft.com/office/drawing/2014/main" id="{4308B1D9-931A-4E49-9A12-2E8ACBE9BD2A}"/>
            </a:ext>
          </a:extLst>
        </xdr:cNvPr>
        <xdr:cNvSpPr>
          <a:spLocks noChangeShapeType="1"/>
        </xdr:cNvSpPr>
      </xdr:nvSpPr>
      <xdr:spPr bwMode="auto">
        <a:xfrm flipV="1">
          <a:off x="311150" y="267977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160</xdr:row>
      <xdr:rowOff>83344</xdr:rowOff>
    </xdr:from>
    <xdr:to>
      <xdr:col>3</xdr:col>
      <xdr:colOff>123824</xdr:colOff>
      <xdr:row>162</xdr:row>
      <xdr:rowOff>35718</xdr:rowOff>
    </xdr:to>
    <xdr:sp macro="" textlink="">
      <xdr:nvSpPr>
        <xdr:cNvPr id="280" name="Line 1146">
          <a:extLst>
            <a:ext uri="{FF2B5EF4-FFF2-40B4-BE49-F238E27FC236}">
              <a16:creationId xmlns:a16="http://schemas.microsoft.com/office/drawing/2014/main" id="{6152D094-62C6-4D27-8C4B-90DB92E2F918}"/>
            </a:ext>
          </a:extLst>
        </xdr:cNvPr>
        <xdr:cNvSpPr>
          <a:spLocks noChangeShapeType="1"/>
        </xdr:cNvSpPr>
      </xdr:nvSpPr>
      <xdr:spPr bwMode="auto">
        <a:xfrm flipV="1">
          <a:off x="311150" y="27153394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162</xdr:row>
      <xdr:rowOff>83343</xdr:rowOff>
    </xdr:from>
    <xdr:to>
      <xdr:col>3</xdr:col>
      <xdr:colOff>123824</xdr:colOff>
      <xdr:row>164</xdr:row>
      <xdr:rowOff>35719</xdr:rowOff>
    </xdr:to>
    <xdr:sp macro="" textlink="">
      <xdr:nvSpPr>
        <xdr:cNvPr id="281" name="Line 1147">
          <a:extLst>
            <a:ext uri="{FF2B5EF4-FFF2-40B4-BE49-F238E27FC236}">
              <a16:creationId xmlns:a16="http://schemas.microsoft.com/office/drawing/2014/main" id="{473AF708-3E7A-42D3-8408-E5EBB004625A}"/>
            </a:ext>
          </a:extLst>
        </xdr:cNvPr>
        <xdr:cNvSpPr>
          <a:spLocks noChangeShapeType="1"/>
        </xdr:cNvSpPr>
      </xdr:nvSpPr>
      <xdr:spPr bwMode="auto">
        <a:xfrm flipV="1">
          <a:off x="311150" y="275089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164</xdr:row>
      <xdr:rowOff>83344</xdr:rowOff>
    </xdr:from>
    <xdr:to>
      <xdr:col>3</xdr:col>
      <xdr:colOff>123824</xdr:colOff>
      <xdr:row>166</xdr:row>
      <xdr:rowOff>38100</xdr:rowOff>
    </xdr:to>
    <xdr:sp macro="" textlink="">
      <xdr:nvSpPr>
        <xdr:cNvPr id="282" name="Line 1148">
          <a:extLst>
            <a:ext uri="{FF2B5EF4-FFF2-40B4-BE49-F238E27FC236}">
              <a16:creationId xmlns:a16="http://schemas.microsoft.com/office/drawing/2014/main" id="{4BDBA812-3774-4940-A6F8-D4380EFB80B2}"/>
            </a:ext>
          </a:extLst>
        </xdr:cNvPr>
        <xdr:cNvSpPr>
          <a:spLocks noChangeShapeType="1"/>
        </xdr:cNvSpPr>
      </xdr:nvSpPr>
      <xdr:spPr bwMode="auto">
        <a:xfrm flipV="1">
          <a:off x="311150" y="2786459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166</xdr:row>
      <xdr:rowOff>85725</xdr:rowOff>
    </xdr:from>
    <xdr:to>
      <xdr:col>3</xdr:col>
      <xdr:colOff>123824</xdr:colOff>
      <xdr:row>168</xdr:row>
      <xdr:rowOff>157162</xdr:rowOff>
    </xdr:to>
    <xdr:sp macro="" textlink="">
      <xdr:nvSpPr>
        <xdr:cNvPr id="283" name="Line 1149">
          <a:extLst>
            <a:ext uri="{FF2B5EF4-FFF2-40B4-BE49-F238E27FC236}">
              <a16:creationId xmlns:a16="http://schemas.microsoft.com/office/drawing/2014/main" id="{0BD49408-7D44-42FF-973F-A9C0DB49CFA1}"/>
            </a:ext>
          </a:extLst>
        </xdr:cNvPr>
        <xdr:cNvSpPr>
          <a:spLocks noChangeShapeType="1"/>
        </xdr:cNvSpPr>
      </xdr:nvSpPr>
      <xdr:spPr bwMode="auto">
        <a:xfrm flipV="1">
          <a:off x="311150" y="28222575"/>
          <a:ext cx="409574" cy="30638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156</xdr:row>
      <xdr:rowOff>83344</xdr:rowOff>
    </xdr:from>
    <xdr:to>
      <xdr:col>3</xdr:col>
      <xdr:colOff>123824</xdr:colOff>
      <xdr:row>158</xdr:row>
      <xdr:rowOff>35718</xdr:rowOff>
    </xdr:to>
    <xdr:sp macro="" textlink="">
      <xdr:nvSpPr>
        <xdr:cNvPr id="284" name="Line 1150">
          <a:extLst>
            <a:ext uri="{FF2B5EF4-FFF2-40B4-BE49-F238E27FC236}">
              <a16:creationId xmlns:a16="http://schemas.microsoft.com/office/drawing/2014/main" id="{9BAC3EB0-933D-4DFC-A14F-0E074BF83857}"/>
            </a:ext>
          </a:extLst>
        </xdr:cNvPr>
        <xdr:cNvSpPr>
          <a:spLocks noChangeShapeType="1"/>
        </xdr:cNvSpPr>
      </xdr:nvSpPr>
      <xdr:spPr bwMode="auto">
        <a:xfrm flipV="1">
          <a:off x="311150" y="26442194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59531</xdr:colOff>
      <xdr:row>157</xdr:row>
      <xdr:rowOff>102394</xdr:rowOff>
    </xdr:from>
    <xdr:to>
      <xdr:col>2</xdr:col>
      <xdr:colOff>59531</xdr:colOff>
      <xdr:row>158</xdr:row>
      <xdr:rowOff>147637</xdr:rowOff>
    </xdr:to>
    <xdr:pic>
      <xdr:nvPicPr>
        <xdr:cNvPr id="285" name="Picture 1151" descr="red_13">
          <a:extLst>
            <a:ext uri="{FF2B5EF4-FFF2-40B4-BE49-F238E27FC236}">
              <a16:creationId xmlns:a16="http://schemas.microsoft.com/office/drawing/2014/main" id="{BC604644-7AC5-4ACA-AB55-6355239E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6639044"/>
          <a:ext cx="228600" cy="22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159</xdr:row>
      <xdr:rowOff>102394</xdr:rowOff>
    </xdr:from>
    <xdr:to>
      <xdr:col>2</xdr:col>
      <xdr:colOff>59531</xdr:colOff>
      <xdr:row>160</xdr:row>
      <xdr:rowOff>147638</xdr:rowOff>
    </xdr:to>
    <xdr:pic>
      <xdr:nvPicPr>
        <xdr:cNvPr id="286" name="Picture 1152" descr="red_14">
          <a:extLst>
            <a:ext uri="{FF2B5EF4-FFF2-40B4-BE49-F238E27FC236}">
              <a16:creationId xmlns:a16="http://schemas.microsoft.com/office/drawing/2014/main" id="{8DE05674-EB8B-4ABE-9075-0CC3FFD92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6994644"/>
          <a:ext cx="228600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161</xdr:row>
      <xdr:rowOff>102394</xdr:rowOff>
    </xdr:from>
    <xdr:to>
      <xdr:col>2</xdr:col>
      <xdr:colOff>59531</xdr:colOff>
      <xdr:row>162</xdr:row>
      <xdr:rowOff>147637</xdr:rowOff>
    </xdr:to>
    <xdr:pic>
      <xdr:nvPicPr>
        <xdr:cNvPr id="287" name="Picture 1153" descr="red_15">
          <a:extLst>
            <a:ext uri="{FF2B5EF4-FFF2-40B4-BE49-F238E27FC236}">
              <a16:creationId xmlns:a16="http://schemas.microsoft.com/office/drawing/2014/main" id="{2509B452-C523-4059-99B6-CDEBC47C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7350244"/>
          <a:ext cx="228600" cy="22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163</xdr:row>
      <xdr:rowOff>102394</xdr:rowOff>
    </xdr:from>
    <xdr:to>
      <xdr:col>2</xdr:col>
      <xdr:colOff>59531</xdr:colOff>
      <xdr:row>164</xdr:row>
      <xdr:rowOff>147638</xdr:rowOff>
    </xdr:to>
    <xdr:pic>
      <xdr:nvPicPr>
        <xdr:cNvPr id="288" name="Picture 1154" descr="red_16">
          <a:extLst>
            <a:ext uri="{FF2B5EF4-FFF2-40B4-BE49-F238E27FC236}">
              <a16:creationId xmlns:a16="http://schemas.microsoft.com/office/drawing/2014/main" id="{D96EC628-F762-4676-86E3-2392D5CB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7705844"/>
          <a:ext cx="228600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165</xdr:row>
      <xdr:rowOff>107156</xdr:rowOff>
    </xdr:from>
    <xdr:to>
      <xdr:col>2</xdr:col>
      <xdr:colOff>59531</xdr:colOff>
      <xdr:row>166</xdr:row>
      <xdr:rowOff>161925</xdr:rowOff>
    </xdr:to>
    <xdr:pic>
      <xdr:nvPicPr>
        <xdr:cNvPr id="289" name="Picture 1155" descr="red_17">
          <a:extLst>
            <a:ext uri="{FF2B5EF4-FFF2-40B4-BE49-F238E27FC236}">
              <a16:creationId xmlns:a16="http://schemas.microsoft.com/office/drawing/2014/main" id="{79B46B6F-8E17-4BC2-8D25-574E02711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8066206"/>
          <a:ext cx="228600" cy="232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168</xdr:row>
      <xdr:rowOff>54768</xdr:rowOff>
    </xdr:from>
    <xdr:to>
      <xdr:col>2</xdr:col>
      <xdr:colOff>59531</xdr:colOff>
      <xdr:row>169</xdr:row>
      <xdr:rowOff>114300</xdr:rowOff>
    </xdr:to>
    <xdr:pic>
      <xdr:nvPicPr>
        <xdr:cNvPr id="290" name="Picture 1156" descr="red_18">
          <a:extLst>
            <a:ext uri="{FF2B5EF4-FFF2-40B4-BE49-F238E27FC236}">
              <a16:creationId xmlns:a16="http://schemas.microsoft.com/office/drawing/2014/main" id="{FEDE1B60-8F66-4880-8A56-C1A4FEE68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28426568"/>
          <a:ext cx="228600" cy="230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215</xdr:row>
      <xdr:rowOff>173832</xdr:rowOff>
    </xdr:from>
    <xdr:to>
      <xdr:col>3</xdr:col>
      <xdr:colOff>123824</xdr:colOff>
      <xdr:row>217</xdr:row>
      <xdr:rowOff>126206</xdr:rowOff>
    </xdr:to>
    <xdr:sp macro="" textlink="">
      <xdr:nvSpPr>
        <xdr:cNvPr id="291" name="Line 1157">
          <a:extLst>
            <a:ext uri="{FF2B5EF4-FFF2-40B4-BE49-F238E27FC236}">
              <a16:creationId xmlns:a16="http://schemas.microsoft.com/office/drawing/2014/main" id="{E7B27497-2F1C-4B52-A969-7FC78D779EAE}"/>
            </a:ext>
          </a:extLst>
        </xdr:cNvPr>
        <xdr:cNvSpPr>
          <a:spLocks noChangeShapeType="1"/>
        </xdr:cNvSpPr>
      </xdr:nvSpPr>
      <xdr:spPr bwMode="auto">
        <a:xfrm flipV="1">
          <a:off x="311150" y="364831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217</xdr:row>
      <xdr:rowOff>173831</xdr:rowOff>
    </xdr:from>
    <xdr:to>
      <xdr:col>3</xdr:col>
      <xdr:colOff>123824</xdr:colOff>
      <xdr:row>219</xdr:row>
      <xdr:rowOff>126207</xdr:rowOff>
    </xdr:to>
    <xdr:sp macro="" textlink="">
      <xdr:nvSpPr>
        <xdr:cNvPr id="292" name="Line 1158">
          <a:extLst>
            <a:ext uri="{FF2B5EF4-FFF2-40B4-BE49-F238E27FC236}">
              <a16:creationId xmlns:a16="http://schemas.microsoft.com/office/drawing/2014/main" id="{D1A408B7-EE90-4E48-A82C-335FE2BD89EC}"/>
            </a:ext>
          </a:extLst>
        </xdr:cNvPr>
        <xdr:cNvSpPr>
          <a:spLocks noChangeShapeType="1"/>
        </xdr:cNvSpPr>
      </xdr:nvSpPr>
      <xdr:spPr bwMode="auto">
        <a:xfrm flipV="1">
          <a:off x="311150" y="36838731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219</xdr:row>
      <xdr:rowOff>173832</xdr:rowOff>
    </xdr:from>
    <xdr:to>
      <xdr:col>3</xdr:col>
      <xdr:colOff>123824</xdr:colOff>
      <xdr:row>221</xdr:row>
      <xdr:rowOff>126206</xdr:rowOff>
    </xdr:to>
    <xdr:sp macro="" textlink="">
      <xdr:nvSpPr>
        <xdr:cNvPr id="293" name="Line 1159">
          <a:extLst>
            <a:ext uri="{FF2B5EF4-FFF2-40B4-BE49-F238E27FC236}">
              <a16:creationId xmlns:a16="http://schemas.microsoft.com/office/drawing/2014/main" id="{A430F14C-2090-46A1-B124-22E460999E5E}"/>
            </a:ext>
          </a:extLst>
        </xdr:cNvPr>
        <xdr:cNvSpPr>
          <a:spLocks noChangeShapeType="1"/>
        </xdr:cNvSpPr>
      </xdr:nvSpPr>
      <xdr:spPr bwMode="auto">
        <a:xfrm flipV="1">
          <a:off x="311150" y="371943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221</xdr:row>
      <xdr:rowOff>173831</xdr:rowOff>
    </xdr:from>
    <xdr:to>
      <xdr:col>3</xdr:col>
      <xdr:colOff>123824</xdr:colOff>
      <xdr:row>223</xdr:row>
      <xdr:rowOff>126207</xdr:rowOff>
    </xdr:to>
    <xdr:sp macro="" textlink="">
      <xdr:nvSpPr>
        <xdr:cNvPr id="294" name="Line 1160">
          <a:extLst>
            <a:ext uri="{FF2B5EF4-FFF2-40B4-BE49-F238E27FC236}">
              <a16:creationId xmlns:a16="http://schemas.microsoft.com/office/drawing/2014/main" id="{F3E0207E-A3D9-42D5-90BA-A0F28B6ABE44}"/>
            </a:ext>
          </a:extLst>
        </xdr:cNvPr>
        <xdr:cNvSpPr>
          <a:spLocks noChangeShapeType="1"/>
        </xdr:cNvSpPr>
      </xdr:nvSpPr>
      <xdr:spPr bwMode="auto">
        <a:xfrm flipV="1">
          <a:off x="311150" y="37549931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223</xdr:row>
      <xdr:rowOff>173832</xdr:rowOff>
    </xdr:from>
    <xdr:to>
      <xdr:col>3</xdr:col>
      <xdr:colOff>123824</xdr:colOff>
      <xdr:row>225</xdr:row>
      <xdr:rowOff>126206</xdr:rowOff>
    </xdr:to>
    <xdr:sp macro="" textlink="">
      <xdr:nvSpPr>
        <xdr:cNvPr id="295" name="Line 1161">
          <a:extLst>
            <a:ext uri="{FF2B5EF4-FFF2-40B4-BE49-F238E27FC236}">
              <a16:creationId xmlns:a16="http://schemas.microsoft.com/office/drawing/2014/main" id="{8F272CDF-8C77-4C5C-9739-CAC0165701D2}"/>
            </a:ext>
          </a:extLst>
        </xdr:cNvPr>
        <xdr:cNvSpPr>
          <a:spLocks noChangeShapeType="1"/>
        </xdr:cNvSpPr>
      </xdr:nvSpPr>
      <xdr:spPr bwMode="auto">
        <a:xfrm flipV="1">
          <a:off x="311150" y="37905532"/>
          <a:ext cx="409574" cy="307974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171450</xdr:colOff>
      <xdr:row>226</xdr:row>
      <xdr:rowOff>0</xdr:rowOff>
    </xdr:from>
    <xdr:to>
      <xdr:col>3</xdr:col>
      <xdr:colOff>123824</xdr:colOff>
      <xdr:row>227</xdr:row>
      <xdr:rowOff>130969</xdr:rowOff>
    </xdr:to>
    <xdr:sp macro="" textlink="">
      <xdr:nvSpPr>
        <xdr:cNvPr id="296" name="Line 1162">
          <a:extLst>
            <a:ext uri="{FF2B5EF4-FFF2-40B4-BE49-F238E27FC236}">
              <a16:creationId xmlns:a16="http://schemas.microsoft.com/office/drawing/2014/main" id="{70702522-4336-49D6-B58D-5C3BD7F541A8}"/>
            </a:ext>
          </a:extLst>
        </xdr:cNvPr>
        <xdr:cNvSpPr>
          <a:spLocks noChangeShapeType="1"/>
        </xdr:cNvSpPr>
      </xdr:nvSpPr>
      <xdr:spPr bwMode="auto">
        <a:xfrm flipV="1">
          <a:off x="311150" y="38265100"/>
          <a:ext cx="409574" cy="30876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59531</xdr:colOff>
      <xdr:row>217</xdr:row>
      <xdr:rowOff>14287</xdr:rowOff>
    </xdr:from>
    <xdr:to>
      <xdr:col>2</xdr:col>
      <xdr:colOff>59531</xdr:colOff>
      <xdr:row>218</xdr:row>
      <xdr:rowOff>61912</xdr:rowOff>
    </xdr:to>
    <xdr:pic>
      <xdr:nvPicPr>
        <xdr:cNvPr id="297" name="Picture 1163" descr="red_19">
          <a:extLst>
            <a:ext uri="{FF2B5EF4-FFF2-40B4-BE49-F238E27FC236}">
              <a16:creationId xmlns:a16="http://schemas.microsoft.com/office/drawing/2014/main" id="{2F3F84CC-3DA5-4999-925C-5D9BB65F6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6679187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219</xdr:row>
      <xdr:rowOff>14288</xdr:rowOff>
    </xdr:from>
    <xdr:to>
      <xdr:col>2</xdr:col>
      <xdr:colOff>59531</xdr:colOff>
      <xdr:row>220</xdr:row>
      <xdr:rowOff>61913</xdr:rowOff>
    </xdr:to>
    <xdr:pic>
      <xdr:nvPicPr>
        <xdr:cNvPr id="298" name="Picture 1164" descr="red_20">
          <a:extLst>
            <a:ext uri="{FF2B5EF4-FFF2-40B4-BE49-F238E27FC236}">
              <a16:creationId xmlns:a16="http://schemas.microsoft.com/office/drawing/2014/main" id="{11438989-3290-4ED4-92E4-166CC3FB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034788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221</xdr:row>
      <xdr:rowOff>14287</xdr:rowOff>
    </xdr:from>
    <xdr:to>
      <xdr:col>2</xdr:col>
      <xdr:colOff>59531</xdr:colOff>
      <xdr:row>222</xdr:row>
      <xdr:rowOff>61912</xdr:rowOff>
    </xdr:to>
    <xdr:pic>
      <xdr:nvPicPr>
        <xdr:cNvPr id="299" name="Picture 1165" descr="red_21">
          <a:extLst>
            <a:ext uri="{FF2B5EF4-FFF2-40B4-BE49-F238E27FC236}">
              <a16:creationId xmlns:a16="http://schemas.microsoft.com/office/drawing/2014/main" id="{54923987-D664-495C-AF74-3017C921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390387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223</xdr:row>
      <xdr:rowOff>14288</xdr:rowOff>
    </xdr:from>
    <xdr:to>
      <xdr:col>2</xdr:col>
      <xdr:colOff>59531</xdr:colOff>
      <xdr:row>224</xdr:row>
      <xdr:rowOff>61913</xdr:rowOff>
    </xdr:to>
    <xdr:pic>
      <xdr:nvPicPr>
        <xdr:cNvPr id="300" name="Picture 1166" descr="red_22">
          <a:extLst>
            <a:ext uri="{FF2B5EF4-FFF2-40B4-BE49-F238E27FC236}">
              <a16:creationId xmlns:a16="http://schemas.microsoft.com/office/drawing/2014/main" id="{F0EB4EDC-F37A-427B-8C34-B21478F29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7745988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225</xdr:row>
      <xdr:rowOff>14287</xdr:rowOff>
    </xdr:from>
    <xdr:to>
      <xdr:col>2</xdr:col>
      <xdr:colOff>59531</xdr:colOff>
      <xdr:row>226</xdr:row>
      <xdr:rowOff>66675</xdr:rowOff>
    </xdr:to>
    <xdr:pic>
      <xdr:nvPicPr>
        <xdr:cNvPr id="301" name="Picture 1167" descr="red_23">
          <a:extLst>
            <a:ext uri="{FF2B5EF4-FFF2-40B4-BE49-F238E27FC236}">
              <a16:creationId xmlns:a16="http://schemas.microsoft.com/office/drawing/2014/main" id="{66192C4A-190F-46AF-8E7D-91349AFFE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8101587"/>
          <a:ext cx="228600" cy="23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59531</xdr:colOff>
      <xdr:row>227</xdr:row>
      <xdr:rowOff>16669</xdr:rowOff>
    </xdr:from>
    <xdr:to>
      <xdr:col>2</xdr:col>
      <xdr:colOff>59531</xdr:colOff>
      <xdr:row>228</xdr:row>
      <xdr:rowOff>64294</xdr:rowOff>
    </xdr:to>
    <xdr:pic>
      <xdr:nvPicPr>
        <xdr:cNvPr id="302" name="Picture 1168" descr="red_24">
          <a:extLst>
            <a:ext uri="{FF2B5EF4-FFF2-40B4-BE49-F238E27FC236}">
              <a16:creationId xmlns:a16="http://schemas.microsoft.com/office/drawing/2014/main" id="{D512B610-A579-491A-A4E9-CA4BD3075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" y="38459569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166688</xdr:colOff>
      <xdr:row>276</xdr:row>
      <xdr:rowOff>171450</xdr:rowOff>
    </xdr:from>
    <xdr:to>
      <xdr:col>3</xdr:col>
      <xdr:colOff>119062</xdr:colOff>
      <xdr:row>278</xdr:row>
      <xdr:rowOff>123825</xdr:rowOff>
    </xdr:to>
    <xdr:sp macro="" textlink="">
      <xdr:nvSpPr>
        <xdr:cNvPr id="303" name="Line 1169">
          <a:extLst>
            <a:ext uri="{FF2B5EF4-FFF2-40B4-BE49-F238E27FC236}">
              <a16:creationId xmlns:a16="http://schemas.microsoft.com/office/drawing/2014/main" id="{732FBCD1-D4DF-49CD-ADD0-B9F580DC6953}"/>
            </a:ext>
          </a:extLst>
        </xdr:cNvPr>
        <xdr:cNvSpPr>
          <a:spLocks noChangeShapeType="1"/>
        </xdr:cNvSpPr>
      </xdr:nvSpPr>
      <xdr:spPr bwMode="auto">
        <a:xfrm flipV="1">
          <a:off x="306388" y="467868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278</xdr:row>
      <xdr:rowOff>171450</xdr:rowOff>
    </xdr:from>
    <xdr:to>
      <xdr:col>3</xdr:col>
      <xdr:colOff>119062</xdr:colOff>
      <xdr:row>280</xdr:row>
      <xdr:rowOff>123825</xdr:rowOff>
    </xdr:to>
    <xdr:sp macro="" textlink="">
      <xdr:nvSpPr>
        <xdr:cNvPr id="304" name="Line 1170">
          <a:extLst>
            <a:ext uri="{FF2B5EF4-FFF2-40B4-BE49-F238E27FC236}">
              <a16:creationId xmlns:a16="http://schemas.microsoft.com/office/drawing/2014/main" id="{CC60A61D-0940-4C27-A5C8-9A9F2E0858C5}"/>
            </a:ext>
          </a:extLst>
        </xdr:cNvPr>
        <xdr:cNvSpPr>
          <a:spLocks noChangeShapeType="1"/>
        </xdr:cNvSpPr>
      </xdr:nvSpPr>
      <xdr:spPr bwMode="auto">
        <a:xfrm flipV="1">
          <a:off x="306388" y="471424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280</xdr:row>
      <xdr:rowOff>171450</xdr:rowOff>
    </xdr:from>
    <xdr:to>
      <xdr:col>3</xdr:col>
      <xdr:colOff>119062</xdr:colOff>
      <xdr:row>282</xdr:row>
      <xdr:rowOff>123825</xdr:rowOff>
    </xdr:to>
    <xdr:sp macro="" textlink="">
      <xdr:nvSpPr>
        <xdr:cNvPr id="305" name="Line 1171">
          <a:extLst>
            <a:ext uri="{FF2B5EF4-FFF2-40B4-BE49-F238E27FC236}">
              <a16:creationId xmlns:a16="http://schemas.microsoft.com/office/drawing/2014/main" id="{A2A627EF-17B1-4EAA-A724-4CD98E81642C}"/>
            </a:ext>
          </a:extLst>
        </xdr:cNvPr>
        <xdr:cNvSpPr>
          <a:spLocks noChangeShapeType="1"/>
        </xdr:cNvSpPr>
      </xdr:nvSpPr>
      <xdr:spPr bwMode="auto">
        <a:xfrm flipV="1">
          <a:off x="306388" y="474980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282</xdr:row>
      <xdr:rowOff>171450</xdr:rowOff>
    </xdr:from>
    <xdr:to>
      <xdr:col>3</xdr:col>
      <xdr:colOff>119062</xdr:colOff>
      <xdr:row>284</xdr:row>
      <xdr:rowOff>123825</xdr:rowOff>
    </xdr:to>
    <xdr:sp macro="" textlink="">
      <xdr:nvSpPr>
        <xdr:cNvPr id="306" name="Line 1172">
          <a:extLst>
            <a:ext uri="{FF2B5EF4-FFF2-40B4-BE49-F238E27FC236}">
              <a16:creationId xmlns:a16="http://schemas.microsoft.com/office/drawing/2014/main" id="{CBDA3421-B907-4FA1-BA01-0CE6F85E3E9F}"/>
            </a:ext>
          </a:extLst>
        </xdr:cNvPr>
        <xdr:cNvSpPr>
          <a:spLocks noChangeShapeType="1"/>
        </xdr:cNvSpPr>
      </xdr:nvSpPr>
      <xdr:spPr bwMode="auto">
        <a:xfrm flipV="1">
          <a:off x="306388" y="478536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166688</xdr:colOff>
      <xdr:row>284</xdr:row>
      <xdr:rowOff>171450</xdr:rowOff>
    </xdr:from>
    <xdr:to>
      <xdr:col>3</xdr:col>
      <xdr:colOff>119062</xdr:colOff>
      <xdr:row>286</xdr:row>
      <xdr:rowOff>123825</xdr:rowOff>
    </xdr:to>
    <xdr:sp macro="" textlink="">
      <xdr:nvSpPr>
        <xdr:cNvPr id="307" name="Line 1173">
          <a:extLst>
            <a:ext uri="{FF2B5EF4-FFF2-40B4-BE49-F238E27FC236}">
              <a16:creationId xmlns:a16="http://schemas.microsoft.com/office/drawing/2014/main" id="{41C54BAF-0F00-43B9-806B-D017DD44B870}"/>
            </a:ext>
          </a:extLst>
        </xdr:cNvPr>
        <xdr:cNvSpPr>
          <a:spLocks noChangeShapeType="1"/>
        </xdr:cNvSpPr>
      </xdr:nvSpPr>
      <xdr:spPr bwMode="auto">
        <a:xfrm flipV="1">
          <a:off x="306388" y="48209200"/>
          <a:ext cx="409574" cy="3079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64294</xdr:colOff>
      <xdr:row>278</xdr:row>
      <xdr:rowOff>11906</xdr:rowOff>
    </xdr:from>
    <xdr:to>
      <xdr:col>2</xdr:col>
      <xdr:colOff>64294</xdr:colOff>
      <xdr:row>279</xdr:row>
      <xdr:rowOff>59532</xdr:rowOff>
    </xdr:to>
    <xdr:pic>
      <xdr:nvPicPr>
        <xdr:cNvPr id="308" name="Picture 1174" descr="red_25">
          <a:extLst>
            <a:ext uri="{FF2B5EF4-FFF2-40B4-BE49-F238E27FC236}">
              <a16:creationId xmlns:a16="http://schemas.microsoft.com/office/drawing/2014/main" id="{58B11BDB-2434-4BA0-A2FF-933C1716A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6982856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280</xdr:row>
      <xdr:rowOff>11906</xdr:rowOff>
    </xdr:from>
    <xdr:to>
      <xdr:col>2</xdr:col>
      <xdr:colOff>64294</xdr:colOff>
      <xdr:row>281</xdr:row>
      <xdr:rowOff>59531</xdr:rowOff>
    </xdr:to>
    <xdr:pic>
      <xdr:nvPicPr>
        <xdr:cNvPr id="309" name="Picture 1175" descr="red_26">
          <a:extLst>
            <a:ext uri="{FF2B5EF4-FFF2-40B4-BE49-F238E27FC236}">
              <a16:creationId xmlns:a16="http://schemas.microsoft.com/office/drawing/2014/main" id="{FF1CB726-A6D2-49BD-8B26-96D419790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7338456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282</xdr:row>
      <xdr:rowOff>11906</xdr:rowOff>
    </xdr:from>
    <xdr:to>
      <xdr:col>2</xdr:col>
      <xdr:colOff>64294</xdr:colOff>
      <xdr:row>283</xdr:row>
      <xdr:rowOff>59532</xdr:rowOff>
    </xdr:to>
    <xdr:pic>
      <xdr:nvPicPr>
        <xdr:cNvPr id="310" name="Picture 1176" descr="red_27">
          <a:extLst>
            <a:ext uri="{FF2B5EF4-FFF2-40B4-BE49-F238E27FC236}">
              <a16:creationId xmlns:a16="http://schemas.microsoft.com/office/drawing/2014/main" id="{679FAEB0-BB8B-49F1-AC6E-DD3645111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7694056"/>
          <a:ext cx="228600" cy="225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284</xdr:row>
      <xdr:rowOff>11906</xdr:rowOff>
    </xdr:from>
    <xdr:to>
      <xdr:col>2</xdr:col>
      <xdr:colOff>64294</xdr:colOff>
      <xdr:row>285</xdr:row>
      <xdr:rowOff>59531</xdr:rowOff>
    </xdr:to>
    <xdr:pic>
      <xdr:nvPicPr>
        <xdr:cNvPr id="311" name="Picture 1177" descr="red_28">
          <a:extLst>
            <a:ext uri="{FF2B5EF4-FFF2-40B4-BE49-F238E27FC236}">
              <a16:creationId xmlns:a16="http://schemas.microsoft.com/office/drawing/2014/main" id="{312B8DEB-8C55-4C83-897A-184F2354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049656"/>
          <a:ext cx="228600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64294</xdr:colOff>
      <xdr:row>286</xdr:row>
      <xdr:rowOff>11906</xdr:rowOff>
    </xdr:from>
    <xdr:to>
      <xdr:col>2</xdr:col>
      <xdr:colOff>64294</xdr:colOff>
      <xdr:row>287</xdr:row>
      <xdr:rowOff>64294</xdr:rowOff>
    </xdr:to>
    <xdr:pic>
      <xdr:nvPicPr>
        <xdr:cNvPr id="312" name="Picture 1178" descr="red_29">
          <a:extLst>
            <a:ext uri="{FF2B5EF4-FFF2-40B4-BE49-F238E27FC236}">
              <a16:creationId xmlns:a16="http://schemas.microsoft.com/office/drawing/2014/main" id="{8B5C03FC-9778-46F8-BA8E-6466009CE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405256"/>
          <a:ext cx="228600" cy="23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166688</xdr:colOff>
      <xdr:row>287</xdr:row>
      <xdr:rowOff>7144</xdr:rowOff>
    </xdr:from>
    <xdr:to>
      <xdr:col>3</xdr:col>
      <xdr:colOff>119062</xdr:colOff>
      <xdr:row>288</xdr:row>
      <xdr:rowOff>138113</xdr:rowOff>
    </xdr:to>
    <xdr:sp macro="" textlink="">
      <xdr:nvSpPr>
        <xdr:cNvPr id="313" name="Line 1179">
          <a:extLst>
            <a:ext uri="{FF2B5EF4-FFF2-40B4-BE49-F238E27FC236}">
              <a16:creationId xmlns:a16="http://schemas.microsoft.com/office/drawing/2014/main" id="{B81863C4-61A8-4562-9DB5-BEB8DE354838}"/>
            </a:ext>
          </a:extLst>
        </xdr:cNvPr>
        <xdr:cNvSpPr>
          <a:spLocks noChangeShapeType="1"/>
        </xdr:cNvSpPr>
      </xdr:nvSpPr>
      <xdr:spPr bwMode="auto">
        <a:xfrm flipV="1">
          <a:off x="306388" y="48578294"/>
          <a:ext cx="409574" cy="30876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64294</xdr:colOff>
      <xdr:row>288</xdr:row>
      <xdr:rowOff>14288</xdr:rowOff>
    </xdr:from>
    <xdr:to>
      <xdr:col>2</xdr:col>
      <xdr:colOff>64294</xdr:colOff>
      <xdr:row>289</xdr:row>
      <xdr:rowOff>61912</xdr:rowOff>
    </xdr:to>
    <xdr:pic>
      <xdr:nvPicPr>
        <xdr:cNvPr id="314" name="Picture 1180" descr="red_30">
          <a:extLst>
            <a:ext uri="{FF2B5EF4-FFF2-40B4-BE49-F238E27FC236}">
              <a16:creationId xmlns:a16="http://schemas.microsoft.com/office/drawing/2014/main" id="{FAB2CCD2-F3F1-4D6B-8F49-71E3C2A70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94" y="48763238"/>
          <a:ext cx="228600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180976</xdr:colOff>
      <xdr:row>333</xdr:row>
      <xdr:rowOff>140493</xdr:rowOff>
    </xdr:from>
    <xdr:to>
      <xdr:col>3</xdr:col>
      <xdr:colOff>133350</xdr:colOff>
      <xdr:row>336</xdr:row>
      <xdr:rowOff>35719</xdr:rowOff>
    </xdr:to>
    <xdr:sp macro="" textlink="">
      <xdr:nvSpPr>
        <xdr:cNvPr id="315" name="Line 1181">
          <a:extLst>
            <a:ext uri="{FF2B5EF4-FFF2-40B4-BE49-F238E27FC236}">
              <a16:creationId xmlns:a16="http://schemas.microsoft.com/office/drawing/2014/main" id="{A2622A47-3446-4A20-BD52-86DBC8DAABFA}"/>
            </a:ext>
          </a:extLst>
        </xdr:cNvPr>
        <xdr:cNvSpPr>
          <a:spLocks noChangeShapeType="1"/>
        </xdr:cNvSpPr>
      </xdr:nvSpPr>
      <xdr:spPr bwMode="auto">
        <a:xfrm flipV="1">
          <a:off x="320676" y="56477693"/>
          <a:ext cx="409574" cy="30797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336</xdr:row>
      <xdr:rowOff>71438</xdr:rowOff>
    </xdr:from>
    <xdr:to>
      <xdr:col>3</xdr:col>
      <xdr:colOff>133350</xdr:colOff>
      <xdr:row>338</xdr:row>
      <xdr:rowOff>38100</xdr:rowOff>
    </xdr:to>
    <xdr:sp macro="" textlink="">
      <xdr:nvSpPr>
        <xdr:cNvPr id="316" name="Line 1182">
          <a:extLst>
            <a:ext uri="{FF2B5EF4-FFF2-40B4-BE49-F238E27FC236}">
              <a16:creationId xmlns:a16="http://schemas.microsoft.com/office/drawing/2014/main" id="{D261ED45-CC01-424F-A84C-2C6046C0CF33}"/>
            </a:ext>
          </a:extLst>
        </xdr:cNvPr>
        <xdr:cNvSpPr>
          <a:spLocks noChangeShapeType="1"/>
        </xdr:cNvSpPr>
      </xdr:nvSpPr>
      <xdr:spPr bwMode="auto">
        <a:xfrm flipV="1">
          <a:off x="320676" y="56821388"/>
          <a:ext cx="409574" cy="315912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338</xdr:row>
      <xdr:rowOff>83343</xdr:rowOff>
    </xdr:from>
    <xdr:to>
      <xdr:col>3</xdr:col>
      <xdr:colOff>133350</xdr:colOff>
      <xdr:row>340</xdr:row>
      <xdr:rowOff>38100</xdr:rowOff>
    </xdr:to>
    <xdr:sp macro="" textlink="">
      <xdr:nvSpPr>
        <xdr:cNvPr id="317" name="Line 1183">
          <a:extLst>
            <a:ext uri="{FF2B5EF4-FFF2-40B4-BE49-F238E27FC236}">
              <a16:creationId xmlns:a16="http://schemas.microsoft.com/office/drawing/2014/main" id="{A8BF07DE-EAE2-45FA-BD42-3879E374F9C2}"/>
            </a:ext>
          </a:extLst>
        </xdr:cNvPr>
        <xdr:cNvSpPr>
          <a:spLocks noChangeShapeType="1"/>
        </xdr:cNvSpPr>
      </xdr:nvSpPr>
      <xdr:spPr bwMode="auto">
        <a:xfrm flipV="1">
          <a:off x="320676" y="57182543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340</xdr:row>
      <xdr:rowOff>83344</xdr:rowOff>
    </xdr:from>
    <xdr:to>
      <xdr:col>3</xdr:col>
      <xdr:colOff>133350</xdr:colOff>
      <xdr:row>342</xdr:row>
      <xdr:rowOff>38100</xdr:rowOff>
    </xdr:to>
    <xdr:sp macro="" textlink="">
      <xdr:nvSpPr>
        <xdr:cNvPr id="318" name="Line 1184">
          <a:extLst>
            <a:ext uri="{FF2B5EF4-FFF2-40B4-BE49-F238E27FC236}">
              <a16:creationId xmlns:a16="http://schemas.microsoft.com/office/drawing/2014/main" id="{844EA771-F2C6-4164-9021-E8ADF5B0D226}"/>
            </a:ext>
          </a:extLst>
        </xdr:cNvPr>
        <xdr:cNvSpPr>
          <a:spLocks noChangeShapeType="1"/>
        </xdr:cNvSpPr>
      </xdr:nvSpPr>
      <xdr:spPr bwMode="auto">
        <a:xfrm flipV="1">
          <a:off x="320676" y="5753814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342</xdr:row>
      <xdr:rowOff>83343</xdr:rowOff>
    </xdr:from>
    <xdr:to>
      <xdr:col>3</xdr:col>
      <xdr:colOff>133350</xdr:colOff>
      <xdr:row>344</xdr:row>
      <xdr:rowOff>38100</xdr:rowOff>
    </xdr:to>
    <xdr:sp macro="" textlink="">
      <xdr:nvSpPr>
        <xdr:cNvPr id="319" name="Line 1185">
          <a:extLst>
            <a:ext uri="{FF2B5EF4-FFF2-40B4-BE49-F238E27FC236}">
              <a16:creationId xmlns:a16="http://schemas.microsoft.com/office/drawing/2014/main" id="{E925883E-6BFD-417F-90F5-36537C98228C}"/>
            </a:ext>
          </a:extLst>
        </xdr:cNvPr>
        <xdr:cNvSpPr>
          <a:spLocks noChangeShapeType="1"/>
        </xdr:cNvSpPr>
      </xdr:nvSpPr>
      <xdr:spPr bwMode="auto">
        <a:xfrm flipV="1">
          <a:off x="320676" y="57893743"/>
          <a:ext cx="409574" cy="31035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180976</xdr:colOff>
      <xdr:row>344</xdr:row>
      <xdr:rowOff>83344</xdr:rowOff>
    </xdr:from>
    <xdr:to>
      <xdr:col>3</xdr:col>
      <xdr:colOff>133350</xdr:colOff>
      <xdr:row>346</xdr:row>
      <xdr:rowOff>38100</xdr:rowOff>
    </xdr:to>
    <xdr:sp macro="" textlink="">
      <xdr:nvSpPr>
        <xdr:cNvPr id="320" name="Line 1186">
          <a:extLst>
            <a:ext uri="{FF2B5EF4-FFF2-40B4-BE49-F238E27FC236}">
              <a16:creationId xmlns:a16="http://schemas.microsoft.com/office/drawing/2014/main" id="{063605C5-15D8-4F1E-AC68-98B7D6D7223F}"/>
            </a:ext>
          </a:extLst>
        </xdr:cNvPr>
        <xdr:cNvSpPr>
          <a:spLocks noChangeShapeType="1"/>
        </xdr:cNvSpPr>
      </xdr:nvSpPr>
      <xdr:spPr bwMode="auto">
        <a:xfrm flipV="1">
          <a:off x="320676" y="58249344"/>
          <a:ext cx="409574" cy="31035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66676</xdr:colOff>
      <xdr:row>334</xdr:row>
      <xdr:rowOff>150019</xdr:rowOff>
    </xdr:from>
    <xdr:to>
      <xdr:col>2</xdr:col>
      <xdr:colOff>76200</xdr:colOff>
      <xdr:row>336</xdr:row>
      <xdr:rowOff>138113</xdr:rowOff>
    </xdr:to>
    <xdr:pic>
      <xdr:nvPicPr>
        <xdr:cNvPr id="321" name="Picture 1187" descr="red_31">
          <a:extLst>
            <a:ext uri="{FF2B5EF4-FFF2-40B4-BE49-F238E27FC236}">
              <a16:creationId xmlns:a16="http://schemas.microsoft.com/office/drawing/2014/main" id="{BB2F15D7-FECA-4401-8FA9-44366BC08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6665019"/>
          <a:ext cx="238124" cy="223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337</xdr:row>
      <xdr:rowOff>102394</xdr:rowOff>
    </xdr:from>
    <xdr:to>
      <xdr:col>2</xdr:col>
      <xdr:colOff>76200</xdr:colOff>
      <xdr:row>338</xdr:row>
      <xdr:rowOff>150018</xdr:rowOff>
    </xdr:to>
    <xdr:pic>
      <xdr:nvPicPr>
        <xdr:cNvPr id="322" name="Picture 1188" descr="red_32">
          <a:extLst>
            <a:ext uri="{FF2B5EF4-FFF2-40B4-BE49-F238E27FC236}">
              <a16:creationId xmlns:a16="http://schemas.microsoft.com/office/drawing/2014/main" id="{C83E9675-FA5F-4E70-8B7E-8A154774F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0237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339</xdr:row>
      <xdr:rowOff>102394</xdr:rowOff>
    </xdr:from>
    <xdr:to>
      <xdr:col>2</xdr:col>
      <xdr:colOff>76200</xdr:colOff>
      <xdr:row>340</xdr:row>
      <xdr:rowOff>150019</xdr:rowOff>
    </xdr:to>
    <xdr:pic>
      <xdr:nvPicPr>
        <xdr:cNvPr id="323" name="Picture 1189" descr="red_33">
          <a:extLst>
            <a:ext uri="{FF2B5EF4-FFF2-40B4-BE49-F238E27FC236}">
              <a16:creationId xmlns:a16="http://schemas.microsoft.com/office/drawing/2014/main" id="{615743F6-2273-43C5-92D9-7E03662F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379394"/>
          <a:ext cx="238124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341</xdr:row>
      <xdr:rowOff>102394</xdr:rowOff>
    </xdr:from>
    <xdr:to>
      <xdr:col>2</xdr:col>
      <xdr:colOff>76200</xdr:colOff>
      <xdr:row>342</xdr:row>
      <xdr:rowOff>150018</xdr:rowOff>
    </xdr:to>
    <xdr:pic>
      <xdr:nvPicPr>
        <xdr:cNvPr id="324" name="Picture 1190" descr="red_34">
          <a:extLst>
            <a:ext uri="{FF2B5EF4-FFF2-40B4-BE49-F238E27FC236}">
              <a16:creationId xmlns:a16="http://schemas.microsoft.com/office/drawing/2014/main" id="{C9ACC94B-5A07-4EDE-B55D-9B486977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77349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343</xdr:row>
      <xdr:rowOff>102394</xdr:rowOff>
    </xdr:from>
    <xdr:to>
      <xdr:col>2</xdr:col>
      <xdr:colOff>76200</xdr:colOff>
      <xdr:row>344</xdr:row>
      <xdr:rowOff>150019</xdr:rowOff>
    </xdr:to>
    <xdr:pic>
      <xdr:nvPicPr>
        <xdr:cNvPr id="325" name="Picture 1191" descr="red_35">
          <a:extLst>
            <a:ext uri="{FF2B5EF4-FFF2-40B4-BE49-F238E27FC236}">
              <a16:creationId xmlns:a16="http://schemas.microsoft.com/office/drawing/2014/main" id="{32231AE4-B5F6-4456-80F7-8CE6180ED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8090594"/>
          <a:ext cx="238124" cy="22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345</xdr:row>
      <xdr:rowOff>102394</xdr:rowOff>
    </xdr:from>
    <xdr:to>
      <xdr:col>2</xdr:col>
      <xdr:colOff>76200</xdr:colOff>
      <xdr:row>346</xdr:row>
      <xdr:rowOff>150018</xdr:rowOff>
    </xdr:to>
    <xdr:pic>
      <xdr:nvPicPr>
        <xdr:cNvPr id="326" name="Picture 1192" descr="red_36">
          <a:extLst>
            <a:ext uri="{FF2B5EF4-FFF2-40B4-BE49-F238E27FC236}">
              <a16:creationId xmlns:a16="http://schemas.microsoft.com/office/drawing/2014/main" id="{2DDDA5D9-689E-4624-8005-15FF43AC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58446194"/>
          <a:ext cx="238124" cy="22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52</xdr:col>
      <xdr:colOff>95250</xdr:colOff>
      <xdr:row>13</xdr:row>
      <xdr:rowOff>47625</xdr:rowOff>
    </xdr:from>
    <xdr:to>
      <xdr:col>56</xdr:col>
      <xdr:colOff>161925</xdr:colOff>
      <xdr:row>15</xdr:row>
      <xdr:rowOff>159544</xdr:rowOff>
    </xdr:to>
    <xdr:grpSp>
      <xdr:nvGrpSpPr>
        <xdr:cNvPr id="327" name="Group 1205">
          <a:extLst>
            <a:ext uri="{FF2B5EF4-FFF2-40B4-BE49-F238E27FC236}">
              <a16:creationId xmlns:a16="http://schemas.microsoft.com/office/drawing/2014/main" id="{A75C84BC-7E45-48FE-930D-7463E85BF5BE}"/>
            </a:ext>
          </a:extLst>
        </xdr:cNvPr>
        <xdr:cNvGrpSpPr>
          <a:grpSpLocks/>
        </xdr:cNvGrpSpPr>
      </xdr:nvGrpSpPr>
      <xdr:grpSpPr bwMode="auto">
        <a:xfrm>
          <a:off x="11414125" y="2174875"/>
          <a:ext cx="955675" cy="461169"/>
          <a:chOff x="986" y="117"/>
          <a:chExt cx="107" cy="50"/>
        </a:xfrm>
      </xdr:grpSpPr>
      <xdr:sp macro="" textlink="">
        <xdr:nvSpPr>
          <xdr:cNvPr id="328" name="Line 1206">
            <a:extLst>
              <a:ext uri="{FF2B5EF4-FFF2-40B4-BE49-F238E27FC236}">
                <a16:creationId xmlns:a16="http://schemas.microsoft.com/office/drawing/2014/main" id="{193749A8-B33C-419B-9281-F9E54CA9D8BE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" name="Text Box 1207">
            <a:extLst>
              <a:ext uri="{FF2B5EF4-FFF2-40B4-BE49-F238E27FC236}">
                <a16:creationId xmlns:a16="http://schemas.microsoft.com/office/drawing/2014/main" id="{14C1FC37-AC73-4C39-A4BA-0DA2E8054E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40</xdr:col>
      <xdr:colOff>130968</xdr:colOff>
      <xdr:row>74</xdr:row>
      <xdr:rowOff>95250</xdr:rowOff>
    </xdr:from>
    <xdr:to>
      <xdr:col>44</xdr:col>
      <xdr:colOff>197643</xdr:colOff>
      <xdr:row>77</xdr:row>
      <xdr:rowOff>100012</xdr:rowOff>
    </xdr:to>
    <xdr:grpSp>
      <xdr:nvGrpSpPr>
        <xdr:cNvPr id="330" name="Group 1235">
          <a:extLst>
            <a:ext uri="{FF2B5EF4-FFF2-40B4-BE49-F238E27FC236}">
              <a16:creationId xmlns:a16="http://schemas.microsoft.com/office/drawing/2014/main" id="{331F2D5D-BC4E-4C86-B30F-C99B813B4FA0}"/>
            </a:ext>
          </a:extLst>
        </xdr:cNvPr>
        <xdr:cNvGrpSpPr>
          <a:grpSpLocks/>
        </xdr:cNvGrpSpPr>
      </xdr:nvGrpSpPr>
      <xdr:grpSpPr bwMode="auto">
        <a:xfrm>
          <a:off x="8782843" y="12334875"/>
          <a:ext cx="955675" cy="528637"/>
          <a:chOff x="986" y="117"/>
          <a:chExt cx="107" cy="50"/>
        </a:xfrm>
      </xdr:grpSpPr>
      <xdr:sp macro="" textlink="">
        <xdr:nvSpPr>
          <xdr:cNvPr id="331" name="Line 1236">
            <a:extLst>
              <a:ext uri="{FF2B5EF4-FFF2-40B4-BE49-F238E27FC236}">
                <a16:creationId xmlns:a16="http://schemas.microsoft.com/office/drawing/2014/main" id="{621FE492-53AB-47F7-BB52-7755B5FF8840}"/>
              </a:ext>
            </a:extLst>
          </xdr:cNvPr>
          <xdr:cNvSpPr>
            <a:spLocks noChangeShapeType="1"/>
          </xdr:cNvSpPr>
        </xdr:nvSpPr>
        <xdr:spPr bwMode="auto">
          <a:xfrm flipH="1">
            <a:off x="986" y="136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2" name="Text Box 1237">
            <a:extLst>
              <a:ext uri="{FF2B5EF4-FFF2-40B4-BE49-F238E27FC236}">
                <a16:creationId xmlns:a16="http://schemas.microsoft.com/office/drawing/2014/main" id="{988FDDD8-4832-4D1E-B3D9-F710D32157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3" y="117"/>
            <a:ext cx="70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  <xdr:twoCellAnchor>
    <xdr:from>
      <xdr:col>30</xdr:col>
      <xdr:colOff>83343</xdr:colOff>
      <xdr:row>74</xdr:row>
      <xdr:rowOff>119063</xdr:rowOff>
    </xdr:from>
    <xdr:to>
      <xdr:col>33</xdr:col>
      <xdr:colOff>178593</xdr:colOff>
      <xdr:row>77</xdr:row>
      <xdr:rowOff>71437</xdr:rowOff>
    </xdr:to>
    <xdr:grpSp>
      <xdr:nvGrpSpPr>
        <xdr:cNvPr id="333" name="Group 1220">
          <a:extLst>
            <a:ext uri="{FF2B5EF4-FFF2-40B4-BE49-F238E27FC236}">
              <a16:creationId xmlns:a16="http://schemas.microsoft.com/office/drawing/2014/main" id="{76A19990-DC42-4C6F-A749-4AF25E4A39D9}"/>
            </a:ext>
          </a:extLst>
        </xdr:cNvPr>
        <xdr:cNvGrpSpPr>
          <a:grpSpLocks/>
        </xdr:cNvGrpSpPr>
      </xdr:nvGrpSpPr>
      <xdr:grpSpPr bwMode="auto">
        <a:xfrm>
          <a:off x="6512718" y="12358688"/>
          <a:ext cx="762000" cy="476249"/>
          <a:chOff x="1148" y="209"/>
          <a:chExt cx="95" cy="52"/>
        </a:xfrm>
      </xdr:grpSpPr>
      <xdr:sp macro="" textlink="">
        <xdr:nvSpPr>
          <xdr:cNvPr id="334" name="Line 1221">
            <a:extLst>
              <a:ext uri="{FF2B5EF4-FFF2-40B4-BE49-F238E27FC236}">
                <a16:creationId xmlns:a16="http://schemas.microsoft.com/office/drawing/2014/main" id="{A08FBC8C-1F50-488A-8453-E9B1DEF6691C}"/>
              </a:ext>
            </a:extLst>
          </xdr:cNvPr>
          <xdr:cNvSpPr>
            <a:spLocks noChangeShapeType="1"/>
          </xdr:cNvSpPr>
        </xdr:nvSpPr>
        <xdr:spPr bwMode="auto">
          <a:xfrm>
            <a:off x="1207" y="230"/>
            <a:ext cx="36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5" name="Text Box 1222">
            <a:extLst>
              <a:ext uri="{FF2B5EF4-FFF2-40B4-BE49-F238E27FC236}">
                <a16:creationId xmlns:a16="http://schemas.microsoft.com/office/drawing/2014/main" id="{9EC9D1F8-72AE-44AB-93A3-B0FD140938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48" y="209"/>
            <a:ext cx="78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調査物件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83FA-8111-498C-900C-264B52FE236B}">
  <dimension ref="A1:DA372"/>
  <sheetViews>
    <sheetView tabSelected="1" zoomScale="80" zoomScaleNormal="80" workbookViewId="0">
      <selection activeCell="B9" sqref="B9:J9"/>
    </sheetView>
  </sheetViews>
  <sheetFormatPr baseColWidth="10" defaultColWidth="3.5" defaultRowHeight="14"/>
  <cols>
    <col min="1" max="1" width="1.83203125" style="1" customWidth="1"/>
    <col min="2" max="28" width="3" style="1" customWidth="1"/>
    <col min="29" max="30" width="1.83203125" style="1" customWidth="1"/>
    <col min="31" max="63" width="3" style="1" customWidth="1"/>
    <col min="64" max="64" width="1.83203125" style="1" customWidth="1"/>
    <col min="65" max="16384" width="3.5" style="1"/>
  </cols>
  <sheetData>
    <row r="1" spans="1:105" ht="7.5" customHeight="1"/>
    <row r="2" spans="1:105" ht="22">
      <c r="A2" s="2" t="s">
        <v>0</v>
      </c>
      <c r="M2" s="24">
        <v>1</v>
      </c>
      <c r="N2" s="24"/>
      <c r="AD2" s="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25"/>
      <c r="BC2" s="26"/>
      <c r="BD2" s="26"/>
      <c r="BE2" s="26"/>
      <c r="BF2" s="27"/>
      <c r="BG2" s="26">
        <v>3159205</v>
      </c>
      <c r="BH2" s="26"/>
      <c r="BI2" s="26"/>
      <c r="BJ2" s="26"/>
      <c r="BK2" s="26"/>
      <c r="BL2" s="5"/>
      <c r="CA2" s="1" t="s">
        <v>83</v>
      </c>
      <c r="CB2" s="1" t="s">
        <v>84</v>
      </c>
      <c r="DA2" s="6" t="s">
        <v>1</v>
      </c>
    </row>
    <row r="3" spans="1:105" ht="7.5" customHeight="1">
      <c r="A3" s="7"/>
      <c r="AD3" s="8"/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2"/>
      <c r="DA3" s="6" t="s">
        <v>2</v>
      </c>
    </row>
    <row r="4" spans="1:105" ht="18">
      <c r="M4" s="28" t="s">
        <v>3</v>
      </c>
      <c r="N4" s="29"/>
      <c r="O4" s="30"/>
      <c r="P4" s="28" t="str">
        <f>IF($CB$2=1,"勘 定 店 名","店　　名")</f>
        <v>店　　名</v>
      </c>
      <c r="Q4" s="29"/>
      <c r="R4" s="29"/>
      <c r="S4" s="29"/>
      <c r="T4" s="30"/>
      <c r="U4" s="28" t="s">
        <v>4</v>
      </c>
      <c r="V4" s="29"/>
      <c r="W4" s="29"/>
      <c r="X4" s="29"/>
      <c r="Y4" s="30"/>
      <c r="Z4" s="28" t="s">
        <v>5</v>
      </c>
      <c r="AA4" s="29"/>
      <c r="AB4" s="30"/>
      <c r="AD4" s="8"/>
      <c r="AE4" s="13"/>
      <c r="AF4" s="1" t="s">
        <v>6</v>
      </c>
      <c r="AJ4" s="31" t="s">
        <v>85</v>
      </c>
      <c r="AK4" s="31"/>
      <c r="AL4" s="31"/>
      <c r="AM4" s="31"/>
      <c r="AN4" s="31"/>
      <c r="AO4" s="31"/>
      <c r="AP4" s="32"/>
      <c r="AQ4" s="13"/>
      <c r="AR4" s="1" t="s">
        <v>7</v>
      </c>
      <c r="AV4" s="33" t="s">
        <v>86</v>
      </c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4"/>
      <c r="DA4" s="6" t="s">
        <v>8</v>
      </c>
    </row>
    <row r="5" spans="1:105" ht="7.5" customHeight="1">
      <c r="M5" s="39"/>
      <c r="N5" s="40"/>
      <c r="O5" s="56"/>
      <c r="P5" s="39"/>
      <c r="Q5" s="40"/>
      <c r="R5" s="40"/>
      <c r="S5" s="40"/>
      <c r="T5" s="56"/>
      <c r="U5" s="39"/>
      <c r="V5" s="40"/>
      <c r="W5" s="40"/>
      <c r="X5" s="40"/>
      <c r="Y5" s="56"/>
      <c r="Z5" s="39"/>
      <c r="AA5" s="40"/>
      <c r="AB5" s="56"/>
      <c r="AD5" s="8"/>
      <c r="AE5" s="14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6"/>
      <c r="AQ5" s="14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7"/>
      <c r="DA5" s="6" t="s">
        <v>9</v>
      </c>
    </row>
    <row r="6" spans="1:105" ht="7.5" customHeight="1">
      <c r="M6" s="58"/>
      <c r="N6" s="59"/>
      <c r="O6" s="60"/>
      <c r="P6" s="58"/>
      <c r="Q6" s="59"/>
      <c r="R6" s="59"/>
      <c r="S6" s="59"/>
      <c r="T6" s="60"/>
      <c r="U6" s="58"/>
      <c r="V6" s="59"/>
      <c r="W6" s="59"/>
      <c r="X6" s="59"/>
      <c r="Y6" s="60"/>
      <c r="Z6" s="58"/>
      <c r="AA6" s="59"/>
      <c r="AB6" s="60"/>
      <c r="AD6" s="8"/>
      <c r="BL6" s="18"/>
      <c r="DA6" s="6" t="s">
        <v>10</v>
      </c>
    </row>
    <row r="7" spans="1:105" ht="7.5" customHeight="1">
      <c r="M7" s="58"/>
      <c r="N7" s="59"/>
      <c r="O7" s="60"/>
      <c r="P7" s="58"/>
      <c r="Q7" s="59"/>
      <c r="R7" s="59"/>
      <c r="S7" s="59"/>
      <c r="T7" s="60"/>
      <c r="U7" s="58"/>
      <c r="V7" s="59"/>
      <c r="W7" s="59"/>
      <c r="X7" s="59"/>
      <c r="Y7" s="60"/>
      <c r="Z7" s="58"/>
      <c r="AA7" s="59"/>
      <c r="AB7" s="60"/>
      <c r="AD7" s="8"/>
      <c r="BL7" s="18"/>
      <c r="DA7" s="6" t="s">
        <v>11</v>
      </c>
    </row>
    <row r="8" spans="1:105" ht="18">
      <c r="M8" s="58"/>
      <c r="N8" s="59"/>
      <c r="O8" s="60"/>
      <c r="P8" s="58"/>
      <c r="Q8" s="59"/>
      <c r="R8" s="59"/>
      <c r="S8" s="59"/>
      <c r="T8" s="60"/>
      <c r="U8" s="58"/>
      <c r="V8" s="59"/>
      <c r="W8" s="59"/>
      <c r="X8" s="59"/>
      <c r="Y8" s="60"/>
      <c r="Z8" s="58"/>
      <c r="AA8" s="59"/>
      <c r="AB8" s="60"/>
      <c r="AD8" s="8"/>
      <c r="BL8" s="18"/>
      <c r="DA8" s="6" t="s">
        <v>12</v>
      </c>
    </row>
    <row r="9" spans="1:105" ht="18">
      <c r="B9" s="61" t="s">
        <v>85</v>
      </c>
      <c r="C9" s="61"/>
      <c r="D9" s="61"/>
      <c r="E9" s="61"/>
      <c r="F9" s="61"/>
      <c r="G9" s="61"/>
      <c r="H9" s="61"/>
      <c r="I9" s="61"/>
      <c r="J9" s="61"/>
      <c r="M9" s="42"/>
      <c r="N9" s="43"/>
      <c r="O9" s="57"/>
      <c r="P9" s="42"/>
      <c r="Q9" s="43"/>
      <c r="R9" s="43"/>
      <c r="S9" s="43"/>
      <c r="T9" s="57"/>
      <c r="U9" s="42"/>
      <c r="V9" s="43"/>
      <c r="W9" s="43"/>
      <c r="X9" s="43"/>
      <c r="Y9" s="57"/>
      <c r="Z9" s="42"/>
      <c r="AA9" s="43"/>
      <c r="AB9" s="57"/>
      <c r="AD9" s="8"/>
      <c r="AE9" s="19" t="s">
        <v>13</v>
      </c>
      <c r="AF9" s="35"/>
      <c r="AG9" s="36"/>
      <c r="AH9" s="36"/>
      <c r="AI9" s="36"/>
      <c r="AJ9" s="36"/>
      <c r="AK9" s="36"/>
      <c r="AL9" s="36"/>
      <c r="AM9" s="36"/>
      <c r="AN9" s="36"/>
      <c r="AV9" s="19" t="s">
        <v>14</v>
      </c>
      <c r="AW9" s="35"/>
      <c r="AX9" s="36"/>
      <c r="AY9" s="36"/>
      <c r="AZ9" s="36"/>
      <c r="BA9" s="36"/>
      <c r="BB9" s="36"/>
      <c r="BC9" s="36"/>
      <c r="BD9" s="36"/>
      <c r="BE9" s="36"/>
      <c r="BL9" s="18"/>
      <c r="DA9" s="6" t="s">
        <v>15</v>
      </c>
    </row>
    <row r="10" spans="1:105" ht="14.25" customHeight="1">
      <c r="AD10" s="8"/>
      <c r="AE10" s="37" t="s">
        <v>16</v>
      </c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V10" s="37" t="s">
        <v>16</v>
      </c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18"/>
      <c r="DA10" s="6" t="s">
        <v>17</v>
      </c>
    </row>
    <row r="11" spans="1:105" ht="14.25" customHeight="1">
      <c r="A11" s="39" t="s">
        <v>18</v>
      </c>
      <c r="B11" s="40"/>
      <c r="C11" s="40"/>
      <c r="D11" s="41"/>
      <c r="E11" s="45"/>
      <c r="F11" s="40"/>
      <c r="G11" s="40"/>
      <c r="H11" s="40"/>
      <c r="I11" s="40"/>
      <c r="J11" s="40"/>
      <c r="K11" s="40"/>
      <c r="L11" s="40"/>
      <c r="M11" s="41"/>
      <c r="N11" s="45" t="str">
        <f>IF($CB$2=1,"","勘定店番")</f>
        <v>勘定店番</v>
      </c>
      <c r="O11" s="40"/>
      <c r="P11" s="40"/>
      <c r="Q11" s="40"/>
      <c r="R11" s="40"/>
      <c r="S11" s="41"/>
      <c r="T11" s="47"/>
      <c r="U11" s="48"/>
      <c r="V11" s="48"/>
      <c r="W11" s="48"/>
      <c r="X11" s="48"/>
      <c r="Y11" s="48"/>
      <c r="Z11" s="48"/>
      <c r="AA11" s="48"/>
      <c r="AB11" s="49"/>
      <c r="AD11" s="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18"/>
      <c r="DA11" s="6" t="s">
        <v>19</v>
      </c>
    </row>
    <row r="12" spans="1:105" ht="14.25" customHeight="1">
      <c r="A12" s="42"/>
      <c r="B12" s="43"/>
      <c r="C12" s="43"/>
      <c r="D12" s="44"/>
      <c r="E12" s="46"/>
      <c r="F12" s="43"/>
      <c r="G12" s="43"/>
      <c r="H12" s="43"/>
      <c r="I12" s="43"/>
      <c r="J12" s="43"/>
      <c r="K12" s="43"/>
      <c r="L12" s="43"/>
      <c r="M12" s="44"/>
      <c r="N12" s="53" t="str">
        <f>IF($CB$2=1,"","(勘定移管レス先のみ)")</f>
        <v>(勘定移管レス先のみ)</v>
      </c>
      <c r="O12" s="54"/>
      <c r="P12" s="54"/>
      <c r="Q12" s="54"/>
      <c r="R12" s="54"/>
      <c r="S12" s="55"/>
      <c r="T12" s="50"/>
      <c r="U12" s="51"/>
      <c r="V12" s="51"/>
      <c r="W12" s="51"/>
      <c r="X12" s="51"/>
      <c r="Y12" s="51"/>
      <c r="Z12" s="51"/>
      <c r="AA12" s="51"/>
      <c r="AB12" s="52"/>
      <c r="AD12" s="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18"/>
      <c r="DA12" s="6" t="s">
        <v>20</v>
      </c>
    </row>
    <row r="13" spans="1:105" ht="14.25" customHeight="1">
      <c r="A13" s="39" t="s">
        <v>21</v>
      </c>
      <c r="B13" s="40"/>
      <c r="C13" s="40"/>
      <c r="D13" s="41"/>
      <c r="E13" s="45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56"/>
      <c r="AD13" s="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18"/>
      <c r="DA13" s="6" t="s">
        <v>22</v>
      </c>
    </row>
    <row r="14" spans="1:105" ht="14.25" customHeight="1">
      <c r="A14" s="42"/>
      <c r="B14" s="43"/>
      <c r="C14" s="43"/>
      <c r="D14" s="44"/>
      <c r="E14" s="46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57"/>
      <c r="AD14" s="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18"/>
      <c r="DA14" s="6" t="s">
        <v>23</v>
      </c>
    </row>
    <row r="15" spans="1:105" ht="14.25" customHeight="1">
      <c r="A15" s="3"/>
      <c r="B15" s="4" t="s">
        <v>24</v>
      </c>
      <c r="C15" s="4"/>
      <c r="D15" s="4"/>
      <c r="E15" s="4"/>
      <c r="F15" s="4" t="s">
        <v>25</v>
      </c>
      <c r="G15" s="4"/>
      <c r="H15" s="4" t="s">
        <v>26</v>
      </c>
      <c r="I15" s="4"/>
      <c r="J15" s="4" t="s">
        <v>27</v>
      </c>
      <c r="K15" s="4"/>
      <c r="L15" s="4" t="s">
        <v>26</v>
      </c>
      <c r="M15" s="4" t="s">
        <v>28</v>
      </c>
      <c r="N15" s="4"/>
      <c r="O15" s="4"/>
      <c r="P15" s="4" t="s">
        <v>29</v>
      </c>
      <c r="Q15" s="20" t="s">
        <v>30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D15" s="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18"/>
      <c r="DA15" s="6" t="s">
        <v>31</v>
      </c>
    </row>
    <row r="16" spans="1:105" ht="14.25" customHeight="1">
      <c r="A16" s="8"/>
      <c r="AB16" s="18"/>
      <c r="AD16" s="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18"/>
      <c r="DA16" s="6" t="s">
        <v>32</v>
      </c>
    </row>
    <row r="17" spans="1:105" ht="14.25" customHeight="1">
      <c r="A17" s="8"/>
      <c r="B17" s="1" t="s">
        <v>33</v>
      </c>
      <c r="G17" s="1" t="s">
        <v>34</v>
      </c>
      <c r="AB17" s="18"/>
      <c r="AD17" s="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18"/>
      <c r="DA17" s="6" t="s">
        <v>35</v>
      </c>
    </row>
    <row r="18" spans="1:105" ht="14.25" customHeight="1">
      <c r="A18" s="8"/>
      <c r="G18" s="1" t="s">
        <v>36</v>
      </c>
      <c r="AB18" s="18"/>
      <c r="AD18" s="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18"/>
      <c r="DA18" s="6" t="s">
        <v>37</v>
      </c>
    </row>
    <row r="19" spans="1:105" ht="14.25" customHeight="1">
      <c r="A19" s="8"/>
      <c r="AB19" s="18"/>
      <c r="AD19" s="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18"/>
      <c r="DA19" s="6" t="s">
        <v>38</v>
      </c>
    </row>
    <row r="20" spans="1:105" ht="14.25" customHeight="1">
      <c r="A20" s="8"/>
      <c r="B20" s="37" t="s">
        <v>39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18"/>
      <c r="AD20" s="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18"/>
      <c r="DA20" s="6" t="s">
        <v>40</v>
      </c>
    </row>
    <row r="21" spans="1:105" ht="14.25" customHeight="1">
      <c r="A21" s="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18"/>
      <c r="AD21" s="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18"/>
      <c r="DA21" s="6" t="s">
        <v>41</v>
      </c>
    </row>
    <row r="22" spans="1:105" ht="14.25" customHeight="1">
      <c r="A22" s="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18"/>
      <c r="AD22" s="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18"/>
      <c r="DA22" s="6" t="s">
        <v>42</v>
      </c>
    </row>
    <row r="23" spans="1:105" ht="14.25" customHeight="1">
      <c r="A23" s="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18"/>
      <c r="AD23" s="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18"/>
      <c r="DA23" s="6" t="s">
        <v>43</v>
      </c>
    </row>
    <row r="24" spans="1:105" ht="14.25" customHeight="1">
      <c r="A24" s="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18"/>
      <c r="AD24" s="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18"/>
      <c r="DA24" s="6" t="s">
        <v>44</v>
      </c>
    </row>
    <row r="25" spans="1:105" ht="14.25" customHeight="1">
      <c r="A25" s="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18"/>
      <c r="AD25" s="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18"/>
      <c r="DA25" s="6" t="s">
        <v>45</v>
      </c>
    </row>
    <row r="26" spans="1:105" ht="4.5" customHeight="1">
      <c r="A26" s="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18"/>
      <c r="AD26" s="8"/>
      <c r="BL26" s="18"/>
      <c r="DA26" s="6" t="s">
        <v>46</v>
      </c>
    </row>
    <row r="27" spans="1:105" ht="13.5" customHeight="1">
      <c r="A27" s="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18"/>
      <c r="AD27" s="8"/>
      <c r="AE27" s="19" t="s">
        <v>47</v>
      </c>
      <c r="AF27" s="35"/>
      <c r="AG27" s="36"/>
      <c r="AH27" s="36"/>
      <c r="AI27" s="36"/>
      <c r="AJ27" s="36"/>
      <c r="AK27" s="36"/>
      <c r="AL27" s="36"/>
      <c r="AM27" s="36"/>
      <c r="AN27" s="36"/>
      <c r="AV27" s="19" t="s">
        <v>48</v>
      </c>
      <c r="AW27" s="35"/>
      <c r="AX27" s="36"/>
      <c r="AY27" s="36"/>
      <c r="AZ27" s="36"/>
      <c r="BA27" s="36"/>
      <c r="BB27" s="36"/>
      <c r="BC27" s="36"/>
      <c r="BD27" s="36"/>
      <c r="BE27" s="36"/>
      <c r="BL27" s="18"/>
      <c r="DA27" s="6" t="s">
        <v>49</v>
      </c>
    </row>
    <row r="28" spans="1:105" ht="14.25" customHeight="1">
      <c r="A28" s="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18"/>
      <c r="AD28" s="8"/>
      <c r="AE28" s="37" t="s">
        <v>16</v>
      </c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V28" s="37" t="s">
        <v>16</v>
      </c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18"/>
    </row>
    <row r="29" spans="1:105" ht="14.25" customHeight="1">
      <c r="A29" s="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18"/>
      <c r="AD29" s="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18"/>
    </row>
    <row r="30" spans="1:105" ht="14.25" customHeight="1">
      <c r="A30" s="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18"/>
      <c r="AD30" s="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18"/>
    </row>
    <row r="31" spans="1:105" ht="14.25" customHeight="1">
      <c r="A31" s="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18"/>
      <c r="AD31" s="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18"/>
    </row>
    <row r="32" spans="1:105" ht="14.25" customHeight="1">
      <c r="A32" s="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18"/>
      <c r="AD32" s="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18"/>
    </row>
    <row r="33" spans="1:64" ht="14.25" customHeight="1">
      <c r="A33" s="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18"/>
      <c r="AD33" s="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18"/>
    </row>
    <row r="34" spans="1:64" ht="14.25" customHeight="1">
      <c r="A34" s="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18"/>
      <c r="AD34" s="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18"/>
    </row>
    <row r="35" spans="1:64" ht="14.25" customHeight="1">
      <c r="A35" s="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18"/>
      <c r="AD35" s="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18"/>
    </row>
    <row r="36" spans="1:64" ht="14.25" customHeight="1">
      <c r="A36" s="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18"/>
      <c r="AD36" s="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8"/>
    </row>
    <row r="37" spans="1:64" ht="14.25" customHeight="1">
      <c r="A37" s="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18"/>
      <c r="AD37" s="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8"/>
    </row>
    <row r="38" spans="1:64" ht="14.25" customHeight="1">
      <c r="A38" s="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18"/>
      <c r="AD38" s="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8"/>
    </row>
    <row r="39" spans="1:64" ht="14.25" customHeight="1">
      <c r="A39" s="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18"/>
      <c r="AD39" s="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8"/>
    </row>
    <row r="40" spans="1:64" ht="14.25" customHeight="1">
      <c r="A40" s="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18"/>
      <c r="AD40" s="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8"/>
    </row>
    <row r="41" spans="1:64" ht="14.25" customHeight="1">
      <c r="A41" s="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18"/>
      <c r="AD41" s="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8"/>
    </row>
    <row r="42" spans="1:64" ht="14.25" customHeight="1">
      <c r="A42" s="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18"/>
      <c r="AD42" s="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8"/>
    </row>
    <row r="43" spans="1:64" ht="14.25" customHeight="1">
      <c r="A43" s="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18"/>
      <c r="AD43" s="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8"/>
    </row>
    <row r="44" spans="1:64" ht="4.5" customHeight="1">
      <c r="A44" s="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18"/>
      <c r="AD44" s="8"/>
      <c r="BL44" s="18"/>
    </row>
    <row r="45" spans="1:64" ht="13.5" customHeight="1">
      <c r="A45" s="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18"/>
      <c r="AD45" s="8"/>
      <c r="AE45" s="19" t="s">
        <v>50</v>
      </c>
      <c r="AF45" s="35"/>
      <c r="AG45" s="36"/>
      <c r="AH45" s="36"/>
      <c r="AI45" s="36"/>
      <c r="AJ45" s="36"/>
      <c r="AK45" s="36"/>
      <c r="AL45" s="36"/>
      <c r="AM45" s="36"/>
      <c r="AN45" s="36"/>
      <c r="AV45" s="19" t="s">
        <v>51</v>
      </c>
      <c r="AW45" s="35"/>
      <c r="AX45" s="36"/>
      <c r="AY45" s="36"/>
      <c r="AZ45" s="36"/>
      <c r="BA45" s="36"/>
      <c r="BB45" s="36"/>
      <c r="BC45" s="36"/>
      <c r="BD45" s="36"/>
      <c r="BE45" s="36"/>
      <c r="BL45" s="18"/>
    </row>
    <row r="46" spans="1:64" ht="14.25" customHeight="1">
      <c r="A46" s="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18"/>
      <c r="AD46" s="8"/>
      <c r="AE46" s="37" t="s">
        <v>16</v>
      </c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V46" s="37" t="s">
        <v>16</v>
      </c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8"/>
    </row>
    <row r="47" spans="1:64" ht="14.25" customHeight="1">
      <c r="A47" s="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18"/>
      <c r="AD47" s="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18"/>
    </row>
    <row r="48" spans="1:64" ht="14.25" customHeight="1">
      <c r="A48" s="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18"/>
      <c r="AD48" s="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18"/>
    </row>
    <row r="49" spans="1:105" ht="14.25" customHeight="1">
      <c r="A49" s="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18"/>
      <c r="AD49" s="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18"/>
    </row>
    <row r="50" spans="1:105" ht="14.25" customHeight="1">
      <c r="A50" s="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18"/>
      <c r="AD50" s="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18"/>
    </row>
    <row r="51" spans="1:105" ht="14.25" customHeight="1">
      <c r="A51" s="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18"/>
      <c r="AD51" s="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18"/>
    </row>
    <row r="52" spans="1:105" ht="14.25" customHeight="1">
      <c r="A52" s="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18"/>
      <c r="AD52" s="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18"/>
    </row>
    <row r="53" spans="1:105" ht="14.25" customHeight="1">
      <c r="A53" s="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18"/>
      <c r="AD53" s="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18"/>
    </row>
    <row r="54" spans="1:105" ht="14.25" customHeight="1">
      <c r="A54" s="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18"/>
      <c r="AD54" s="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18"/>
    </row>
    <row r="55" spans="1:105" ht="14.25" customHeight="1">
      <c r="A55" s="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18"/>
      <c r="AD55" s="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18"/>
    </row>
    <row r="56" spans="1:105" ht="14.25" customHeight="1">
      <c r="A56" s="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18"/>
      <c r="AD56" s="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18"/>
    </row>
    <row r="57" spans="1:105" ht="14.25" customHeight="1">
      <c r="A57" s="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18"/>
      <c r="AD57" s="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18"/>
    </row>
    <row r="58" spans="1:105" ht="14.25" customHeight="1">
      <c r="A58" s="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18"/>
      <c r="AD58" s="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18"/>
    </row>
    <row r="59" spans="1:105" ht="14.25" customHeight="1">
      <c r="A59" s="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18"/>
      <c r="AD59" s="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18"/>
    </row>
    <row r="60" spans="1:105" ht="14.25" customHeight="1">
      <c r="A60" s="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18"/>
      <c r="AD60" s="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18"/>
    </row>
    <row r="61" spans="1:105" ht="14.25" customHeight="1">
      <c r="A61" s="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18"/>
      <c r="AD61" s="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18"/>
    </row>
    <row r="62" spans="1:105" ht="5.25" customHeight="1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3"/>
      <c r="AD62" s="21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3"/>
    </row>
    <row r="63" spans="1:105" ht="7.5" customHeight="1"/>
    <row r="64" spans="1:105" ht="22">
      <c r="A64" s="2" t="s">
        <v>0</v>
      </c>
      <c r="M64" s="62">
        <f>$M$2</f>
        <v>1</v>
      </c>
      <c r="N64" s="62"/>
      <c r="AD64" s="3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 t="str">
        <f>IF($BB$2="","",$BB$2)</f>
        <v/>
      </c>
      <c r="BC64" s="26"/>
      <c r="BD64" s="26"/>
      <c r="BE64" s="26"/>
      <c r="BF64" s="27"/>
      <c r="BG64" s="26">
        <f>$BG$2</f>
        <v>3159205</v>
      </c>
      <c r="BH64" s="26"/>
      <c r="BI64" s="26"/>
      <c r="BJ64" s="26"/>
      <c r="BK64" s="26"/>
      <c r="BL64" s="5"/>
      <c r="DA64" s="6"/>
    </row>
    <row r="65" spans="1:105" ht="7.5" customHeight="1">
      <c r="A65" s="7"/>
      <c r="AD65" s="8"/>
      <c r="AE65" s="9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1"/>
      <c r="AQ65" s="9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2"/>
      <c r="DA65" s="6"/>
    </row>
    <row r="66" spans="1:105" ht="18">
      <c r="M66" s="28" t="s">
        <v>3</v>
      </c>
      <c r="N66" s="29"/>
      <c r="O66" s="30"/>
      <c r="P66" s="28" t="str">
        <f>IF($CB$2=1,"勘 定 店 名","店　　名")</f>
        <v>店　　名</v>
      </c>
      <c r="Q66" s="29"/>
      <c r="R66" s="29"/>
      <c r="S66" s="29"/>
      <c r="T66" s="30"/>
      <c r="U66" s="28" t="s">
        <v>4</v>
      </c>
      <c r="V66" s="29"/>
      <c r="W66" s="29"/>
      <c r="X66" s="29"/>
      <c r="Y66" s="30"/>
      <c r="Z66" s="28" t="s">
        <v>5</v>
      </c>
      <c r="AA66" s="29"/>
      <c r="AB66" s="30"/>
      <c r="AD66" s="8"/>
      <c r="AE66" s="13"/>
      <c r="AF66" s="1" t="s">
        <v>6</v>
      </c>
      <c r="AJ66" s="31" t="str">
        <f>$AJ$4</f>
        <v>-</v>
      </c>
      <c r="AK66" s="31"/>
      <c r="AL66" s="31"/>
      <c r="AM66" s="31"/>
      <c r="AN66" s="31"/>
      <c r="AO66" s="31"/>
      <c r="AP66" s="32"/>
      <c r="AQ66" s="13"/>
      <c r="AR66" s="1" t="s">
        <v>7</v>
      </c>
      <c r="AV66" s="33" t="str">
        <f>$AV$4</f>
        <v>埼玉県秩父郡小鹿野町両神薄字中原里248-2</v>
      </c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4"/>
      <c r="DA66" s="6"/>
    </row>
    <row r="67" spans="1:105" ht="7.5" customHeight="1">
      <c r="M67" s="39" t="str">
        <f>IF($M$5="","",$M$5)</f>
        <v/>
      </c>
      <c r="N67" s="40"/>
      <c r="O67" s="56"/>
      <c r="P67" s="39" t="str">
        <f>IF($P$5="","",$P$5)</f>
        <v/>
      </c>
      <c r="Q67" s="40"/>
      <c r="R67" s="40"/>
      <c r="S67" s="40"/>
      <c r="T67" s="56"/>
      <c r="U67" s="39" t="str">
        <f>IF($U$5="","",$U$5)</f>
        <v/>
      </c>
      <c r="V67" s="40"/>
      <c r="W67" s="40"/>
      <c r="X67" s="40"/>
      <c r="Y67" s="56"/>
      <c r="Z67" s="39" t="str">
        <f>IF($Z$5="","",$Z$5)</f>
        <v/>
      </c>
      <c r="AA67" s="40"/>
      <c r="AB67" s="56"/>
      <c r="AD67" s="8"/>
      <c r="AE67" s="14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6"/>
      <c r="AQ67" s="14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7"/>
      <c r="DA67" s="6"/>
    </row>
    <row r="68" spans="1:105" ht="7.5" customHeight="1">
      <c r="M68" s="58"/>
      <c r="N68" s="59"/>
      <c r="O68" s="60"/>
      <c r="P68" s="58"/>
      <c r="Q68" s="59"/>
      <c r="R68" s="59"/>
      <c r="S68" s="59"/>
      <c r="T68" s="60"/>
      <c r="U68" s="58"/>
      <c r="V68" s="59"/>
      <c r="W68" s="59"/>
      <c r="X68" s="59"/>
      <c r="Y68" s="60"/>
      <c r="Z68" s="58"/>
      <c r="AA68" s="59"/>
      <c r="AB68" s="60"/>
      <c r="AD68" s="8"/>
      <c r="BL68" s="18"/>
      <c r="DA68" s="6"/>
    </row>
    <row r="69" spans="1:105" ht="7.5" customHeight="1">
      <c r="M69" s="58"/>
      <c r="N69" s="59"/>
      <c r="O69" s="60"/>
      <c r="P69" s="58"/>
      <c r="Q69" s="59"/>
      <c r="R69" s="59"/>
      <c r="S69" s="59"/>
      <c r="T69" s="60"/>
      <c r="U69" s="58"/>
      <c r="V69" s="59"/>
      <c r="W69" s="59"/>
      <c r="X69" s="59"/>
      <c r="Y69" s="60"/>
      <c r="Z69" s="58"/>
      <c r="AA69" s="59"/>
      <c r="AB69" s="60"/>
      <c r="AD69" s="8"/>
      <c r="BL69" s="18"/>
      <c r="DA69" s="6"/>
    </row>
    <row r="70" spans="1:105" ht="18">
      <c r="M70" s="58"/>
      <c r="N70" s="59"/>
      <c r="O70" s="60"/>
      <c r="P70" s="58"/>
      <c r="Q70" s="59"/>
      <c r="R70" s="59"/>
      <c r="S70" s="59"/>
      <c r="T70" s="60"/>
      <c r="U70" s="58"/>
      <c r="V70" s="59"/>
      <c r="W70" s="59"/>
      <c r="X70" s="59"/>
      <c r="Y70" s="60"/>
      <c r="Z70" s="58"/>
      <c r="AA70" s="59"/>
      <c r="AB70" s="60"/>
      <c r="AD70" s="8"/>
      <c r="BL70" s="18"/>
      <c r="DA70" s="6"/>
    </row>
    <row r="71" spans="1:105" ht="18">
      <c r="B71" s="61" t="str">
        <f>$B$9</f>
        <v>-</v>
      </c>
      <c r="C71" s="61"/>
      <c r="D71" s="61"/>
      <c r="E71" s="61"/>
      <c r="F71" s="61"/>
      <c r="G71" s="61"/>
      <c r="H71" s="61"/>
      <c r="I71" s="61"/>
      <c r="J71" s="61"/>
      <c r="M71" s="42"/>
      <c r="N71" s="43"/>
      <c r="O71" s="57"/>
      <c r="P71" s="42"/>
      <c r="Q71" s="43"/>
      <c r="R71" s="43"/>
      <c r="S71" s="43"/>
      <c r="T71" s="57"/>
      <c r="U71" s="42"/>
      <c r="V71" s="43"/>
      <c r="W71" s="43"/>
      <c r="X71" s="43"/>
      <c r="Y71" s="57"/>
      <c r="Z71" s="42"/>
      <c r="AA71" s="43"/>
      <c r="AB71" s="57"/>
      <c r="AD71" s="8"/>
      <c r="AE71" s="19" t="s">
        <v>52</v>
      </c>
      <c r="AF71" s="35"/>
      <c r="AG71" s="36"/>
      <c r="AH71" s="36"/>
      <c r="AI71" s="36"/>
      <c r="AJ71" s="36"/>
      <c r="AK71" s="36"/>
      <c r="AL71" s="36"/>
      <c r="AM71" s="36"/>
      <c r="AN71" s="36"/>
      <c r="AV71" s="19" t="s">
        <v>53</v>
      </c>
      <c r="AW71" s="35"/>
      <c r="AX71" s="36"/>
      <c r="AY71" s="36"/>
      <c r="AZ71" s="36"/>
      <c r="BA71" s="36"/>
      <c r="BB71" s="36"/>
      <c r="BC71" s="36"/>
      <c r="BD71" s="36"/>
      <c r="BE71" s="36"/>
      <c r="BL71" s="18"/>
      <c r="DA71" s="6"/>
    </row>
    <row r="72" spans="1:105" ht="14.25" customHeight="1">
      <c r="AD72" s="8"/>
      <c r="AE72" s="37" t="s">
        <v>16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V72" s="37" t="s">
        <v>16</v>
      </c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18"/>
      <c r="DA72" s="6"/>
    </row>
    <row r="73" spans="1:105" ht="14.25" customHeight="1">
      <c r="A73" s="39" t="str">
        <f>$A$11</f>
        <v>CIF</v>
      </c>
      <c r="B73" s="40"/>
      <c r="C73" s="40"/>
      <c r="D73" s="41"/>
      <c r="E73" s="45" t="str">
        <f>IF($E$11="","",$E$11)</f>
        <v/>
      </c>
      <c r="F73" s="40"/>
      <c r="G73" s="40"/>
      <c r="H73" s="40"/>
      <c r="I73" s="40"/>
      <c r="J73" s="40"/>
      <c r="K73" s="40"/>
      <c r="L73" s="40"/>
      <c r="M73" s="41"/>
      <c r="N73" s="45" t="str">
        <f>$N$11</f>
        <v>勘定店番</v>
      </c>
      <c r="O73" s="40"/>
      <c r="P73" s="40"/>
      <c r="Q73" s="40"/>
      <c r="R73" s="40"/>
      <c r="S73" s="41"/>
      <c r="T73" s="47" t="str">
        <f>IF($T$11="","",$T$11)</f>
        <v/>
      </c>
      <c r="U73" s="48"/>
      <c r="V73" s="48"/>
      <c r="W73" s="48"/>
      <c r="X73" s="48"/>
      <c r="Y73" s="48"/>
      <c r="Z73" s="48"/>
      <c r="AA73" s="48"/>
      <c r="AB73" s="49"/>
      <c r="AD73" s="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18"/>
      <c r="DA73" s="6"/>
    </row>
    <row r="74" spans="1:105" ht="14.25" customHeight="1">
      <c r="A74" s="42"/>
      <c r="B74" s="43"/>
      <c r="C74" s="43"/>
      <c r="D74" s="44"/>
      <c r="E74" s="46"/>
      <c r="F74" s="43"/>
      <c r="G74" s="43"/>
      <c r="H74" s="43"/>
      <c r="I74" s="43"/>
      <c r="J74" s="43"/>
      <c r="K74" s="43"/>
      <c r="L74" s="43"/>
      <c r="M74" s="44"/>
      <c r="N74" s="53" t="str">
        <f>$N$12</f>
        <v>(勘定移管レス先のみ)</v>
      </c>
      <c r="O74" s="54"/>
      <c r="P74" s="54"/>
      <c r="Q74" s="54"/>
      <c r="R74" s="54"/>
      <c r="S74" s="55"/>
      <c r="T74" s="50"/>
      <c r="U74" s="51"/>
      <c r="V74" s="51"/>
      <c r="W74" s="51"/>
      <c r="X74" s="51"/>
      <c r="Y74" s="51"/>
      <c r="Z74" s="51"/>
      <c r="AA74" s="51"/>
      <c r="AB74" s="52"/>
      <c r="AD74" s="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18"/>
      <c r="DA74" s="6"/>
    </row>
    <row r="75" spans="1:105" ht="14.25" customHeight="1">
      <c r="A75" s="39" t="str">
        <f>$A$13</f>
        <v>債務者名</v>
      </c>
      <c r="B75" s="40"/>
      <c r="C75" s="40"/>
      <c r="D75" s="41"/>
      <c r="E75" s="45" t="str">
        <f>IF($E$13="","",$E$13)</f>
        <v/>
      </c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56"/>
      <c r="AD75" s="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18"/>
      <c r="DA75" s="6"/>
    </row>
    <row r="76" spans="1:105" ht="14.25" customHeight="1">
      <c r="A76" s="42"/>
      <c r="B76" s="43"/>
      <c r="C76" s="43"/>
      <c r="D76" s="44"/>
      <c r="E76" s="46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57"/>
      <c r="AD76" s="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18"/>
      <c r="DA76" s="6"/>
    </row>
    <row r="77" spans="1:105" ht="14.25" customHeight="1">
      <c r="A77" s="3"/>
      <c r="B77" s="4" t="s">
        <v>24</v>
      </c>
      <c r="C77" s="4"/>
      <c r="D77" s="4"/>
      <c r="E77" s="4"/>
      <c r="F77" s="4" t="s">
        <v>25</v>
      </c>
      <c r="G77" s="4"/>
      <c r="H77" s="4" t="s">
        <v>26</v>
      </c>
      <c r="I77" s="4"/>
      <c r="J77" s="4" t="s">
        <v>27</v>
      </c>
      <c r="K77" s="4"/>
      <c r="L77" s="4" t="s">
        <v>26</v>
      </c>
      <c r="M77" s="4" t="s">
        <v>28</v>
      </c>
      <c r="N77" s="4"/>
      <c r="O77" s="4"/>
      <c r="P77" s="4" t="s">
        <v>29</v>
      </c>
      <c r="Q77" s="20" t="s">
        <v>30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D77" s="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18"/>
      <c r="DA77" s="6"/>
    </row>
    <row r="78" spans="1:105" ht="14.25" customHeight="1">
      <c r="A78" s="8"/>
      <c r="AB78" s="18"/>
      <c r="AD78" s="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18"/>
      <c r="DA78" s="6"/>
    </row>
    <row r="79" spans="1:105" ht="14.25" customHeight="1">
      <c r="A79" s="8"/>
      <c r="B79" s="1" t="s">
        <v>33</v>
      </c>
      <c r="G79" s="1" t="s">
        <v>34</v>
      </c>
      <c r="AB79" s="18"/>
      <c r="AD79" s="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18"/>
      <c r="DA79" s="6"/>
    </row>
    <row r="80" spans="1:105" ht="14.25" customHeight="1">
      <c r="A80" s="8"/>
      <c r="G80" s="1" t="s">
        <v>36</v>
      </c>
      <c r="AB80" s="18"/>
      <c r="AD80" s="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18"/>
      <c r="DA80" s="6"/>
    </row>
    <row r="81" spans="1:105" ht="14.25" customHeight="1">
      <c r="A81" s="8"/>
      <c r="AB81" s="18"/>
      <c r="AD81" s="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18"/>
      <c r="DA81" s="6"/>
    </row>
    <row r="82" spans="1:105" ht="14.25" customHeight="1">
      <c r="A82" s="8"/>
      <c r="B82" s="37" t="s">
        <v>39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18"/>
      <c r="AD82" s="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18"/>
      <c r="DA82" s="6"/>
    </row>
    <row r="83" spans="1:105" ht="14.25" customHeight="1">
      <c r="A83" s="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18"/>
      <c r="AD83" s="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18"/>
      <c r="DA83" s="6"/>
    </row>
    <row r="84" spans="1:105" ht="14.25" customHeight="1">
      <c r="A84" s="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18"/>
      <c r="AD84" s="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18"/>
      <c r="DA84" s="6"/>
    </row>
    <row r="85" spans="1:105" ht="14.25" customHeight="1">
      <c r="A85" s="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18"/>
      <c r="AD85" s="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18"/>
      <c r="DA85" s="6"/>
    </row>
    <row r="86" spans="1:105" ht="14.25" customHeight="1">
      <c r="A86" s="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18"/>
      <c r="AD86" s="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18"/>
      <c r="DA86" s="6"/>
    </row>
    <row r="87" spans="1:105" ht="14.25" customHeight="1">
      <c r="A87" s="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18"/>
      <c r="AD87" s="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18"/>
      <c r="DA87" s="6"/>
    </row>
    <row r="88" spans="1:105" ht="4.5" customHeight="1">
      <c r="A88" s="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18"/>
      <c r="AD88" s="8"/>
      <c r="BL88" s="18"/>
      <c r="DA88" s="6"/>
    </row>
    <row r="89" spans="1:105" ht="13.5" customHeight="1">
      <c r="A89" s="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18"/>
      <c r="AD89" s="8"/>
      <c r="AE89" s="19" t="s">
        <v>54</v>
      </c>
      <c r="AF89" s="35"/>
      <c r="AG89" s="36"/>
      <c r="AH89" s="36"/>
      <c r="AI89" s="36"/>
      <c r="AJ89" s="36"/>
      <c r="AK89" s="36"/>
      <c r="AL89" s="36"/>
      <c r="AM89" s="36"/>
      <c r="AN89" s="36"/>
      <c r="AV89" s="19" t="s">
        <v>55</v>
      </c>
      <c r="AW89" s="35"/>
      <c r="AX89" s="36"/>
      <c r="AY89" s="36"/>
      <c r="AZ89" s="36"/>
      <c r="BA89" s="36"/>
      <c r="BB89" s="36"/>
      <c r="BC89" s="36"/>
      <c r="BD89" s="36"/>
      <c r="BE89" s="36"/>
      <c r="BL89" s="18"/>
      <c r="DA89" s="6"/>
    </row>
    <row r="90" spans="1:105" ht="14.25" customHeight="1">
      <c r="A90" s="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18"/>
      <c r="AD90" s="8"/>
      <c r="AE90" s="37" t="s">
        <v>16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V90" s="37" t="s">
        <v>16</v>
      </c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18"/>
    </row>
    <row r="91" spans="1:105" ht="14.25" customHeight="1">
      <c r="A91" s="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18"/>
      <c r="AD91" s="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18"/>
    </row>
    <row r="92" spans="1:105" ht="14.25" customHeight="1">
      <c r="A92" s="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18"/>
      <c r="AD92" s="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18"/>
    </row>
    <row r="93" spans="1:105" ht="14.25" customHeight="1">
      <c r="A93" s="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18"/>
      <c r="AD93" s="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18"/>
    </row>
    <row r="94" spans="1:105" ht="14.25" customHeight="1">
      <c r="A94" s="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18"/>
      <c r="AD94" s="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18"/>
    </row>
    <row r="95" spans="1:105" ht="14.25" customHeight="1">
      <c r="A95" s="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18"/>
      <c r="AD95" s="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18"/>
    </row>
    <row r="96" spans="1:105" ht="14.25" customHeight="1">
      <c r="A96" s="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18"/>
      <c r="AD96" s="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18"/>
    </row>
    <row r="97" spans="1:64" ht="14.25" customHeight="1">
      <c r="A97" s="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18"/>
      <c r="AD97" s="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18"/>
    </row>
    <row r="98" spans="1:64" ht="14.25" customHeight="1">
      <c r="A98" s="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18"/>
      <c r="AD98" s="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18"/>
    </row>
    <row r="99" spans="1:64" ht="14.25" customHeight="1">
      <c r="A99" s="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8"/>
      <c r="AD99" s="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18"/>
    </row>
    <row r="100" spans="1:64" ht="14.25" customHeight="1">
      <c r="A100" s="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8"/>
      <c r="AD100" s="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18"/>
    </row>
    <row r="101" spans="1:64" ht="14.25" customHeight="1">
      <c r="A101" s="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8"/>
      <c r="AD101" s="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18"/>
    </row>
    <row r="102" spans="1:64" ht="14.25" customHeight="1">
      <c r="A102" s="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8"/>
      <c r="AD102" s="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18"/>
    </row>
    <row r="103" spans="1:64" ht="14.25" customHeight="1">
      <c r="A103" s="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8"/>
      <c r="AD103" s="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18"/>
    </row>
    <row r="104" spans="1:64" ht="14.25" customHeight="1">
      <c r="A104" s="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8"/>
      <c r="AD104" s="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18"/>
    </row>
    <row r="105" spans="1:64" ht="14.25" customHeight="1">
      <c r="A105" s="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8"/>
      <c r="AD105" s="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18"/>
    </row>
    <row r="106" spans="1:64" ht="4.5" customHeight="1">
      <c r="A106" s="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8"/>
      <c r="AD106" s="8"/>
      <c r="BL106" s="18"/>
    </row>
    <row r="107" spans="1:64" ht="13.5" customHeight="1">
      <c r="A107" s="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8"/>
      <c r="AD107" s="8"/>
      <c r="AE107" s="19" t="s">
        <v>56</v>
      </c>
      <c r="AF107" s="35"/>
      <c r="AG107" s="36"/>
      <c r="AH107" s="36"/>
      <c r="AI107" s="36"/>
      <c r="AJ107" s="36"/>
      <c r="AK107" s="36"/>
      <c r="AL107" s="36"/>
      <c r="AM107" s="36"/>
      <c r="AN107" s="36"/>
      <c r="AV107" s="19" t="s">
        <v>57</v>
      </c>
      <c r="AW107" s="35"/>
      <c r="AX107" s="36"/>
      <c r="AY107" s="36"/>
      <c r="AZ107" s="36"/>
      <c r="BA107" s="36"/>
      <c r="BB107" s="36"/>
      <c r="BC107" s="36"/>
      <c r="BD107" s="36"/>
      <c r="BE107" s="36"/>
      <c r="BL107" s="18"/>
    </row>
    <row r="108" spans="1:64" ht="14.25" customHeight="1">
      <c r="A108" s="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"/>
      <c r="AD108" s="8"/>
      <c r="AE108" s="37" t="s">
        <v>16</v>
      </c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V108" s="37" t="s">
        <v>16</v>
      </c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18"/>
    </row>
    <row r="109" spans="1:64" ht="14.25" customHeight="1">
      <c r="A109" s="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8"/>
      <c r="AD109" s="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18"/>
    </row>
    <row r="110" spans="1:64" ht="14.25" customHeight="1">
      <c r="A110" s="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18"/>
      <c r="AD110" s="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18"/>
    </row>
    <row r="111" spans="1:64" ht="14.25" customHeight="1">
      <c r="A111" s="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"/>
      <c r="AD111" s="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18"/>
    </row>
    <row r="112" spans="1:64" ht="14.25" customHeight="1">
      <c r="A112" s="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8"/>
      <c r="AD112" s="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18"/>
    </row>
    <row r="113" spans="1:105" ht="14.25" customHeight="1">
      <c r="A113" s="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8"/>
      <c r="AD113" s="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18"/>
    </row>
    <row r="114" spans="1:105" ht="14.25" customHeight="1">
      <c r="A114" s="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8"/>
      <c r="AD114" s="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18"/>
    </row>
    <row r="115" spans="1:105" ht="14.25" customHeight="1">
      <c r="A115" s="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"/>
      <c r="AD115" s="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18"/>
    </row>
    <row r="116" spans="1:105" ht="14.25" customHeight="1">
      <c r="A116" s="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18"/>
      <c r="AD116" s="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18"/>
    </row>
    <row r="117" spans="1:105" ht="14.25" customHeight="1">
      <c r="A117" s="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18"/>
      <c r="AD117" s="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18"/>
    </row>
    <row r="118" spans="1:105" ht="14.25" customHeight="1">
      <c r="A118" s="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"/>
      <c r="AD118" s="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18"/>
    </row>
    <row r="119" spans="1:105" ht="14.25" customHeight="1">
      <c r="A119" s="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18"/>
      <c r="AD119" s="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18"/>
    </row>
    <row r="120" spans="1:105" ht="14.25" customHeight="1">
      <c r="A120" s="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18"/>
      <c r="AD120" s="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18"/>
    </row>
    <row r="121" spans="1:105" ht="14.25" customHeight="1">
      <c r="A121" s="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"/>
      <c r="AD121" s="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18"/>
    </row>
    <row r="122" spans="1:105" ht="14.25" customHeight="1">
      <c r="A122" s="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18"/>
      <c r="AD122" s="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18"/>
    </row>
    <row r="123" spans="1:105" ht="14.25" customHeight="1">
      <c r="A123" s="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18"/>
      <c r="AD123" s="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18"/>
    </row>
    <row r="124" spans="1:105" ht="5.25" customHeight="1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3"/>
      <c r="AD124" s="21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3"/>
    </row>
    <row r="125" spans="1:105" ht="7.5" customHeight="1"/>
    <row r="126" spans="1:105" ht="22">
      <c r="A126" s="2" t="s">
        <v>0</v>
      </c>
      <c r="M126" s="63">
        <f>$M$2</f>
        <v>1</v>
      </c>
      <c r="N126" s="63"/>
      <c r="AD126" s="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 t="str">
        <f>IF($BB$2="","",$BB$2)</f>
        <v/>
      </c>
      <c r="BC126" s="26"/>
      <c r="BD126" s="26"/>
      <c r="BE126" s="26"/>
      <c r="BF126" s="27"/>
      <c r="BG126" s="26">
        <f>$BG$2</f>
        <v>3159205</v>
      </c>
      <c r="BH126" s="26"/>
      <c r="BI126" s="26"/>
      <c r="BJ126" s="26"/>
      <c r="BK126" s="26"/>
      <c r="BL126" s="5"/>
      <c r="DA126" s="6"/>
    </row>
    <row r="127" spans="1:105" ht="7.5" customHeight="1">
      <c r="A127" s="7"/>
      <c r="AD127" s="8"/>
      <c r="AE127" s="9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1"/>
      <c r="AQ127" s="9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2"/>
      <c r="DA127" s="6"/>
    </row>
    <row r="128" spans="1:105" ht="18">
      <c r="M128" s="28" t="s">
        <v>3</v>
      </c>
      <c r="N128" s="29"/>
      <c r="O128" s="30"/>
      <c r="P128" s="28" t="str">
        <f>IF($CB$2=1,"勘 定 店 名","店　　名")</f>
        <v>店　　名</v>
      </c>
      <c r="Q128" s="29"/>
      <c r="R128" s="29"/>
      <c r="S128" s="29"/>
      <c r="T128" s="30"/>
      <c r="U128" s="28" t="s">
        <v>4</v>
      </c>
      <c r="V128" s="29"/>
      <c r="W128" s="29"/>
      <c r="X128" s="29"/>
      <c r="Y128" s="30"/>
      <c r="Z128" s="28" t="s">
        <v>5</v>
      </c>
      <c r="AA128" s="29"/>
      <c r="AB128" s="30"/>
      <c r="AD128" s="8"/>
      <c r="AE128" s="13"/>
      <c r="AF128" s="1" t="s">
        <v>6</v>
      </c>
      <c r="AJ128" s="31" t="str">
        <f>$AJ$4</f>
        <v>-</v>
      </c>
      <c r="AK128" s="31"/>
      <c r="AL128" s="31"/>
      <c r="AM128" s="31"/>
      <c r="AN128" s="31"/>
      <c r="AO128" s="31"/>
      <c r="AP128" s="32"/>
      <c r="AQ128" s="13"/>
      <c r="AR128" s="1" t="s">
        <v>7</v>
      </c>
      <c r="AV128" s="33" t="str">
        <f>$AV$4</f>
        <v>埼玉県秩父郡小鹿野町両神薄字中原里248-2</v>
      </c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4"/>
      <c r="DA128" s="6"/>
    </row>
    <row r="129" spans="1:105" ht="7.5" customHeight="1">
      <c r="M129" s="39" t="str">
        <f>IF($M$5="","",$M$5)</f>
        <v/>
      </c>
      <c r="N129" s="40"/>
      <c r="O129" s="56"/>
      <c r="P129" s="39" t="str">
        <f>IF($P$5="","",$P$5)</f>
        <v/>
      </c>
      <c r="Q129" s="40"/>
      <c r="R129" s="40"/>
      <c r="S129" s="40"/>
      <c r="T129" s="56"/>
      <c r="U129" s="39" t="str">
        <f>IF($U$5="","",$U$5)</f>
        <v/>
      </c>
      <c r="V129" s="40"/>
      <c r="W129" s="40"/>
      <c r="X129" s="40"/>
      <c r="Y129" s="56"/>
      <c r="Z129" s="39" t="str">
        <f>IF($Z$5="","",$Z$5)</f>
        <v/>
      </c>
      <c r="AA129" s="40"/>
      <c r="AB129" s="56"/>
      <c r="AD129" s="8"/>
      <c r="AE129" s="14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6"/>
      <c r="AQ129" s="14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7"/>
      <c r="DA129" s="6"/>
    </row>
    <row r="130" spans="1:105" ht="7.5" customHeight="1">
      <c r="M130" s="58"/>
      <c r="N130" s="59"/>
      <c r="O130" s="60"/>
      <c r="P130" s="58"/>
      <c r="Q130" s="59"/>
      <c r="R130" s="59"/>
      <c r="S130" s="59"/>
      <c r="T130" s="60"/>
      <c r="U130" s="58"/>
      <c r="V130" s="59"/>
      <c r="W130" s="59"/>
      <c r="X130" s="59"/>
      <c r="Y130" s="60"/>
      <c r="Z130" s="58"/>
      <c r="AA130" s="59"/>
      <c r="AB130" s="60"/>
      <c r="AD130" s="8"/>
      <c r="BL130" s="18"/>
      <c r="DA130" s="6"/>
    </row>
    <row r="131" spans="1:105" ht="7.5" customHeight="1">
      <c r="M131" s="58"/>
      <c r="N131" s="59"/>
      <c r="O131" s="60"/>
      <c r="P131" s="58"/>
      <c r="Q131" s="59"/>
      <c r="R131" s="59"/>
      <c r="S131" s="59"/>
      <c r="T131" s="60"/>
      <c r="U131" s="58"/>
      <c r="V131" s="59"/>
      <c r="W131" s="59"/>
      <c r="X131" s="59"/>
      <c r="Y131" s="60"/>
      <c r="Z131" s="58"/>
      <c r="AA131" s="59"/>
      <c r="AB131" s="60"/>
      <c r="AD131" s="8"/>
      <c r="BL131" s="18"/>
      <c r="DA131" s="6"/>
    </row>
    <row r="132" spans="1:105" ht="18">
      <c r="M132" s="58"/>
      <c r="N132" s="59"/>
      <c r="O132" s="60"/>
      <c r="P132" s="58"/>
      <c r="Q132" s="59"/>
      <c r="R132" s="59"/>
      <c r="S132" s="59"/>
      <c r="T132" s="60"/>
      <c r="U132" s="58"/>
      <c r="V132" s="59"/>
      <c r="W132" s="59"/>
      <c r="X132" s="59"/>
      <c r="Y132" s="60"/>
      <c r="Z132" s="58"/>
      <c r="AA132" s="59"/>
      <c r="AB132" s="60"/>
      <c r="AD132" s="8"/>
      <c r="BL132" s="18"/>
      <c r="DA132" s="6"/>
    </row>
    <row r="133" spans="1:105" ht="18">
      <c r="B133" s="61" t="str">
        <f>$B$9</f>
        <v>-</v>
      </c>
      <c r="C133" s="61"/>
      <c r="D133" s="61"/>
      <c r="E133" s="61"/>
      <c r="F133" s="61"/>
      <c r="G133" s="61"/>
      <c r="H133" s="61"/>
      <c r="I133" s="61"/>
      <c r="J133" s="61"/>
      <c r="M133" s="42"/>
      <c r="N133" s="43"/>
      <c r="O133" s="57"/>
      <c r="P133" s="42"/>
      <c r="Q133" s="43"/>
      <c r="R133" s="43"/>
      <c r="S133" s="43"/>
      <c r="T133" s="57"/>
      <c r="U133" s="42"/>
      <c r="V133" s="43"/>
      <c r="W133" s="43"/>
      <c r="X133" s="43"/>
      <c r="Y133" s="57"/>
      <c r="Z133" s="42"/>
      <c r="AA133" s="43"/>
      <c r="AB133" s="57"/>
      <c r="AD133" s="8"/>
      <c r="AE133" s="19" t="s">
        <v>58</v>
      </c>
      <c r="AF133" s="35"/>
      <c r="AG133" s="36"/>
      <c r="AH133" s="36"/>
      <c r="AI133" s="36"/>
      <c r="AJ133" s="36"/>
      <c r="AK133" s="36"/>
      <c r="AL133" s="36"/>
      <c r="AM133" s="36"/>
      <c r="AN133" s="36"/>
      <c r="AV133" s="19" t="s">
        <v>59</v>
      </c>
      <c r="AW133" s="35"/>
      <c r="AX133" s="36"/>
      <c r="AY133" s="36"/>
      <c r="AZ133" s="36"/>
      <c r="BA133" s="36"/>
      <c r="BB133" s="36"/>
      <c r="BC133" s="36"/>
      <c r="BD133" s="36"/>
      <c r="BE133" s="36"/>
      <c r="BL133" s="18"/>
      <c r="DA133" s="6"/>
    </row>
    <row r="134" spans="1:105" ht="14.25" customHeight="1">
      <c r="AD134" s="8"/>
      <c r="AE134" s="37" t="s">
        <v>16</v>
      </c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V134" s="37" t="s">
        <v>16</v>
      </c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18"/>
      <c r="DA134" s="6"/>
    </row>
    <row r="135" spans="1:105" ht="14.25" customHeight="1">
      <c r="A135" s="39" t="str">
        <f>$A$11</f>
        <v>CIF</v>
      </c>
      <c r="B135" s="40"/>
      <c r="C135" s="40"/>
      <c r="D135" s="41"/>
      <c r="E135" s="45" t="str">
        <f>IF($E$11="","",$E$11)</f>
        <v/>
      </c>
      <c r="F135" s="40"/>
      <c r="G135" s="40"/>
      <c r="H135" s="40"/>
      <c r="I135" s="40"/>
      <c r="J135" s="40"/>
      <c r="K135" s="40"/>
      <c r="L135" s="40"/>
      <c r="M135" s="41"/>
      <c r="N135" s="45" t="str">
        <f>$N$11</f>
        <v>勘定店番</v>
      </c>
      <c r="O135" s="40"/>
      <c r="P135" s="40"/>
      <c r="Q135" s="40"/>
      <c r="R135" s="40"/>
      <c r="S135" s="41"/>
      <c r="T135" s="47" t="str">
        <f>IF($T$11="","",$T$11)</f>
        <v/>
      </c>
      <c r="U135" s="48"/>
      <c r="V135" s="48"/>
      <c r="W135" s="48"/>
      <c r="X135" s="48"/>
      <c r="Y135" s="48"/>
      <c r="Z135" s="48"/>
      <c r="AA135" s="48"/>
      <c r="AB135" s="49"/>
      <c r="AD135" s="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18"/>
      <c r="DA135" s="6"/>
    </row>
    <row r="136" spans="1:105" ht="14.25" customHeight="1">
      <c r="A136" s="42"/>
      <c r="B136" s="43"/>
      <c r="C136" s="43"/>
      <c r="D136" s="44"/>
      <c r="E136" s="46"/>
      <c r="F136" s="43"/>
      <c r="G136" s="43"/>
      <c r="H136" s="43"/>
      <c r="I136" s="43"/>
      <c r="J136" s="43"/>
      <c r="K136" s="43"/>
      <c r="L136" s="43"/>
      <c r="M136" s="44"/>
      <c r="N136" s="53" t="str">
        <f>$N$12</f>
        <v>(勘定移管レス先のみ)</v>
      </c>
      <c r="O136" s="54"/>
      <c r="P136" s="54"/>
      <c r="Q136" s="54"/>
      <c r="R136" s="54"/>
      <c r="S136" s="55"/>
      <c r="T136" s="50"/>
      <c r="U136" s="51"/>
      <c r="V136" s="51"/>
      <c r="W136" s="51"/>
      <c r="X136" s="51"/>
      <c r="Y136" s="51"/>
      <c r="Z136" s="51"/>
      <c r="AA136" s="51"/>
      <c r="AB136" s="52"/>
      <c r="AD136" s="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18"/>
      <c r="DA136" s="6"/>
    </row>
    <row r="137" spans="1:105" ht="14.25" customHeight="1">
      <c r="A137" s="39" t="str">
        <f>$A$13</f>
        <v>債務者名</v>
      </c>
      <c r="B137" s="40"/>
      <c r="C137" s="40"/>
      <c r="D137" s="41"/>
      <c r="E137" s="45" t="str">
        <f>IF($E$13="","",$E$13)</f>
        <v/>
      </c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56"/>
      <c r="AD137" s="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18"/>
      <c r="DA137" s="6"/>
    </row>
    <row r="138" spans="1:105" ht="14.25" customHeight="1">
      <c r="A138" s="42"/>
      <c r="B138" s="43"/>
      <c r="C138" s="43"/>
      <c r="D138" s="44"/>
      <c r="E138" s="46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57"/>
      <c r="AD138" s="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18"/>
      <c r="DA138" s="6"/>
    </row>
    <row r="139" spans="1:105" ht="14.25" customHeight="1">
      <c r="A139" s="3"/>
      <c r="B139" s="4" t="s">
        <v>24</v>
      </c>
      <c r="C139" s="4"/>
      <c r="D139" s="4"/>
      <c r="E139" s="4"/>
      <c r="F139" s="4" t="s">
        <v>25</v>
      </c>
      <c r="G139" s="4"/>
      <c r="H139" s="4" t="s">
        <v>26</v>
      </c>
      <c r="I139" s="4"/>
      <c r="J139" s="4" t="s">
        <v>27</v>
      </c>
      <c r="K139" s="4"/>
      <c r="L139" s="4" t="s">
        <v>26</v>
      </c>
      <c r="M139" s="4" t="s">
        <v>28</v>
      </c>
      <c r="N139" s="4"/>
      <c r="O139" s="4"/>
      <c r="P139" s="4" t="s">
        <v>29</v>
      </c>
      <c r="Q139" s="20" t="s">
        <v>30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D139" s="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18"/>
      <c r="DA139" s="6"/>
    </row>
    <row r="140" spans="1:105" ht="14.25" customHeight="1">
      <c r="A140" s="8"/>
      <c r="AB140" s="18"/>
      <c r="AD140" s="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18"/>
      <c r="DA140" s="6"/>
    </row>
    <row r="141" spans="1:105" ht="14.25" customHeight="1">
      <c r="A141" s="8"/>
      <c r="B141" s="1" t="s">
        <v>33</v>
      </c>
      <c r="G141" s="1" t="s">
        <v>34</v>
      </c>
      <c r="AB141" s="18"/>
      <c r="AD141" s="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18"/>
      <c r="DA141" s="6"/>
    </row>
    <row r="142" spans="1:105" ht="14.25" customHeight="1">
      <c r="A142" s="8"/>
      <c r="G142" s="1" t="s">
        <v>36</v>
      </c>
      <c r="AB142" s="18"/>
      <c r="AD142" s="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18"/>
      <c r="DA142" s="6"/>
    </row>
    <row r="143" spans="1:105" ht="14.25" customHeight="1">
      <c r="A143" s="8"/>
      <c r="AB143" s="18"/>
      <c r="AD143" s="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18"/>
      <c r="DA143" s="6"/>
    </row>
    <row r="144" spans="1:105" ht="14.25" customHeight="1">
      <c r="A144" s="8"/>
      <c r="B144" s="37" t="s">
        <v>39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18"/>
      <c r="AD144" s="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18"/>
      <c r="DA144" s="6"/>
    </row>
    <row r="145" spans="1:105" ht="14.25" customHeight="1">
      <c r="A145" s="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18"/>
      <c r="AD145" s="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18"/>
      <c r="DA145" s="6"/>
    </row>
    <row r="146" spans="1:105" ht="14.25" customHeight="1">
      <c r="A146" s="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18"/>
      <c r="AD146" s="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18"/>
      <c r="DA146" s="6"/>
    </row>
    <row r="147" spans="1:105" ht="14.25" customHeight="1">
      <c r="A147" s="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18"/>
      <c r="AD147" s="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18"/>
      <c r="DA147" s="6"/>
    </row>
    <row r="148" spans="1:105" ht="14.25" customHeight="1">
      <c r="A148" s="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18"/>
      <c r="AD148" s="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18"/>
      <c r="DA148" s="6"/>
    </row>
    <row r="149" spans="1:105" ht="14.25" customHeight="1">
      <c r="A149" s="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18"/>
      <c r="AD149" s="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18"/>
      <c r="DA149" s="6"/>
    </row>
    <row r="150" spans="1:105" ht="4.5" customHeight="1">
      <c r="A150" s="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18"/>
      <c r="AD150" s="8"/>
      <c r="BL150" s="18"/>
      <c r="DA150" s="6"/>
    </row>
    <row r="151" spans="1:105" ht="13.5" customHeight="1">
      <c r="A151" s="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18"/>
      <c r="AD151" s="8"/>
      <c r="AE151" s="19" t="s">
        <v>60</v>
      </c>
      <c r="AF151" s="35"/>
      <c r="AG151" s="36"/>
      <c r="AH151" s="36"/>
      <c r="AI151" s="36"/>
      <c r="AJ151" s="36"/>
      <c r="AK151" s="36"/>
      <c r="AL151" s="36"/>
      <c r="AM151" s="36"/>
      <c r="AN151" s="36"/>
      <c r="AV151" s="19" t="s">
        <v>61</v>
      </c>
      <c r="AW151" s="35"/>
      <c r="AX151" s="36"/>
      <c r="AY151" s="36"/>
      <c r="AZ151" s="36"/>
      <c r="BA151" s="36"/>
      <c r="BB151" s="36"/>
      <c r="BC151" s="36"/>
      <c r="BD151" s="36"/>
      <c r="BE151" s="36"/>
      <c r="BL151" s="18"/>
      <c r="DA151" s="6"/>
    </row>
    <row r="152" spans="1:105" ht="14.25" customHeight="1">
      <c r="A152" s="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18"/>
      <c r="AD152" s="8"/>
      <c r="AE152" s="37" t="s">
        <v>16</v>
      </c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V152" s="37" t="s">
        <v>16</v>
      </c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18"/>
    </row>
    <row r="153" spans="1:105" ht="14.25" customHeight="1">
      <c r="A153" s="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18"/>
      <c r="AD153" s="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18"/>
    </row>
    <row r="154" spans="1:105" ht="14.25" customHeight="1">
      <c r="A154" s="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18"/>
      <c r="AD154" s="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18"/>
    </row>
    <row r="155" spans="1:105" ht="14.25" customHeight="1">
      <c r="A155" s="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18"/>
      <c r="AD155" s="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18"/>
    </row>
    <row r="156" spans="1:105" ht="14.25" customHeight="1">
      <c r="A156" s="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18"/>
      <c r="AD156" s="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18"/>
    </row>
    <row r="157" spans="1:105" ht="14.25" customHeight="1">
      <c r="A157" s="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18"/>
      <c r="AD157" s="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18"/>
    </row>
    <row r="158" spans="1:105" ht="14.25" customHeight="1">
      <c r="A158" s="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18"/>
      <c r="AD158" s="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18"/>
    </row>
    <row r="159" spans="1:105" ht="14.25" customHeight="1">
      <c r="A159" s="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18"/>
      <c r="AD159" s="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18"/>
    </row>
    <row r="160" spans="1:105" ht="14.25" customHeight="1">
      <c r="A160" s="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18"/>
      <c r="AD160" s="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18"/>
    </row>
    <row r="161" spans="1:64" ht="14.25" customHeight="1">
      <c r="A161" s="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18"/>
      <c r="AD161" s="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18"/>
    </row>
    <row r="162" spans="1:64" ht="14.25" customHeight="1">
      <c r="A162" s="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18"/>
      <c r="AD162" s="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18"/>
    </row>
    <row r="163" spans="1:64" ht="14.25" customHeight="1">
      <c r="A163" s="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18"/>
      <c r="AD163" s="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18"/>
    </row>
    <row r="164" spans="1:64" ht="14.25" customHeight="1">
      <c r="A164" s="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18"/>
      <c r="AD164" s="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18"/>
    </row>
    <row r="165" spans="1:64" ht="14.25" customHeight="1">
      <c r="A165" s="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18"/>
      <c r="AD165" s="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18"/>
    </row>
    <row r="166" spans="1:64" ht="14.25" customHeight="1">
      <c r="A166" s="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18"/>
      <c r="AD166" s="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18"/>
    </row>
    <row r="167" spans="1:64" ht="14.25" customHeight="1">
      <c r="A167" s="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18"/>
      <c r="AD167" s="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18"/>
    </row>
    <row r="168" spans="1:64" ht="4.5" customHeight="1">
      <c r="A168" s="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18"/>
      <c r="AD168" s="8"/>
      <c r="BL168" s="18"/>
    </row>
    <row r="169" spans="1:64" ht="13.5" customHeight="1">
      <c r="A169" s="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18"/>
      <c r="AD169" s="8"/>
      <c r="AE169" s="19" t="s">
        <v>62</v>
      </c>
      <c r="AF169" s="35"/>
      <c r="AG169" s="36"/>
      <c r="AH169" s="36"/>
      <c r="AI169" s="36"/>
      <c r="AJ169" s="36"/>
      <c r="AK169" s="36"/>
      <c r="AL169" s="36"/>
      <c r="AM169" s="36"/>
      <c r="AN169" s="36"/>
      <c r="AV169" s="19" t="s">
        <v>63</v>
      </c>
      <c r="AW169" s="35"/>
      <c r="AX169" s="36"/>
      <c r="AY169" s="36"/>
      <c r="AZ169" s="36"/>
      <c r="BA169" s="36"/>
      <c r="BB169" s="36"/>
      <c r="BC169" s="36"/>
      <c r="BD169" s="36"/>
      <c r="BE169" s="36"/>
      <c r="BL169" s="18"/>
    </row>
    <row r="170" spans="1:64" ht="14.25" customHeight="1">
      <c r="A170" s="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18"/>
      <c r="AD170" s="8"/>
      <c r="AE170" s="37" t="s">
        <v>16</v>
      </c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V170" s="37" t="s">
        <v>16</v>
      </c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18"/>
    </row>
    <row r="171" spans="1:64" ht="14.25" customHeight="1">
      <c r="A171" s="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18"/>
      <c r="AD171" s="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18"/>
    </row>
    <row r="172" spans="1:64" ht="14.25" customHeight="1">
      <c r="A172" s="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18"/>
      <c r="AD172" s="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18"/>
    </row>
    <row r="173" spans="1:64" ht="14.25" customHeight="1">
      <c r="A173" s="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18"/>
      <c r="AD173" s="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18"/>
    </row>
    <row r="174" spans="1:64" ht="14.25" customHeight="1">
      <c r="A174" s="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18"/>
      <c r="AD174" s="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18"/>
    </row>
    <row r="175" spans="1:64" ht="14.25" customHeight="1">
      <c r="A175" s="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18"/>
      <c r="AD175" s="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18"/>
    </row>
    <row r="176" spans="1:64" ht="14.25" customHeight="1">
      <c r="A176" s="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18"/>
      <c r="AD176" s="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18"/>
    </row>
    <row r="177" spans="1:105" ht="14.25" customHeight="1">
      <c r="A177" s="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18"/>
      <c r="AD177" s="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18"/>
    </row>
    <row r="178" spans="1:105" ht="14.25" customHeight="1">
      <c r="A178" s="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18"/>
      <c r="AD178" s="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18"/>
    </row>
    <row r="179" spans="1:105" ht="14.25" customHeight="1">
      <c r="A179" s="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18"/>
      <c r="AD179" s="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18"/>
    </row>
    <row r="180" spans="1:105" ht="14.25" customHeight="1">
      <c r="A180" s="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18"/>
      <c r="AD180" s="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18"/>
    </row>
    <row r="181" spans="1:105" ht="14.25" customHeight="1">
      <c r="A181" s="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18"/>
      <c r="AD181" s="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18"/>
    </row>
    <row r="182" spans="1:105" ht="14.25" customHeight="1">
      <c r="A182" s="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18"/>
      <c r="AD182" s="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18"/>
    </row>
    <row r="183" spans="1:105" ht="14.25" customHeight="1">
      <c r="A183" s="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18"/>
      <c r="AD183" s="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18"/>
    </row>
    <row r="184" spans="1:105" ht="14.25" customHeight="1">
      <c r="A184" s="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18"/>
      <c r="AD184" s="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18"/>
    </row>
    <row r="185" spans="1:105" ht="14.25" customHeight="1">
      <c r="A185" s="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18"/>
      <c r="AD185" s="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18"/>
    </row>
    <row r="186" spans="1:105" ht="5.25" customHeight="1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3"/>
      <c r="AD186" s="21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3"/>
    </row>
    <row r="187" spans="1:105" ht="7.5" customHeight="1"/>
    <row r="188" spans="1:105" ht="22">
      <c r="A188" s="2" t="s">
        <v>0</v>
      </c>
      <c r="M188" s="64">
        <f>$M$2</f>
        <v>1</v>
      </c>
      <c r="N188" s="64"/>
      <c r="AD188" s="3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25" t="str">
        <f>IF($BB$2="","",$BB$2)</f>
        <v/>
      </c>
      <c r="BC188" s="26"/>
      <c r="BD188" s="26"/>
      <c r="BE188" s="26"/>
      <c r="BF188" s="27"/>
      <c r="BG188" s="26">
        <f>$BG$2</f>
        <v>3159205</v>
      </c>
      <c r="BH188" s="26"/>
      <c r="BI188" s="26"/>
      <c r="BJ188" s="26"/>
      <c r="BK188" s="26"/>
      <c r="BL188" s="5"/>
      <c r="DA188" s="6"/>
    </row>
    <row r="189" spans="1:105" ht="7.5" customHeight="1">
      <c r="A189" s="7"/>
      <c r="AD189" s="8"/>
      <c r="AE189" s="9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1"/>
      <c r="AQ189" s="9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2"/>
      <c r="DA189" s="6"/>
    </row>
    <row r="190" spans="1:105" ht="18">
      <c r="M190" s="28" t="s">
        <v>3</v>
      </c>
      <c r="N190" s="29"/>
      <c r="O190" s="30"/>
      <c r="P190" s="28" t="str">
        <f>IF($CB$2=1,"勘 定 店 名","店　　名")</f>
        <v>店　　名</v>
      </c>
      <c r="Q190" s="29"/>
      <c r="R190" s="29"/>
      <c r="S190" s="29"/>
      <c r="T190" s="30"/>
      <c r="U190" s="28" t="s">
        <v>4</v>
      </c>
      <c r="V190" s="29"/>
      <c r="W190" s="29"/>
      <c r="X190" s="29"/>
      <c r="Y190" s="30"/>
      <c r="Z190" s="28" t="s">
        <v>5</v>
      </c>
      <c r="AA190" s="29"/>
      <c r="AB190" s="30"/>
      <c r="AD190" s="8"/>
      <c r="AE190" s="13"/>
      <c r="AF190" s="1" t="s">
        <v>6</v>
      </c>
      <c r="AJ190" s="31" t="str">
        <f>$AJ$4</f>
        <v>-</v>
      </c>
      <c r="AK190" s="31"/>
      <c r="AL190" s="31"/>
      <c r="AM190" s="31"/>
      <c r="AN190" s="31"/>
      <c r="AO190" s="31"/>
      <c r="AP190" s="32"/>
      <c r="AQ190" s="13"/>
      <c r="AR190" s="1" t="s">
        <v>7</v>
      </c>
      <c r="AV190" s="33" t="str">
        <f>$AV$4</f>
        <v>埼玉県秩父郡小鹿野町両神薄字中原里248-2</v>
      </c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4"/>
      <c r="DA190" s="6"/>
    </row>
    <row r="191" spans="1:105" ht="7.5" customHeight="1">
      <c r="M191" s="39" t="str">
        <f>IF($M$5="","",$M$5)</f>
        <v/>
      </c>
      <c r="N191" s="40"/>
      <c r="O191" s="56"/>
      <c r="P191" s="39" t="str">
        <f>IF($P$5="","",$P$5)</f>
        <v/>
      </c>
      <c r="Q191" s="40"/>
      <c r="R191" s="40"/>
      <c r="S191" s="40"/>
      <c r="T191" s="56"/>
      <c r="U191" s="39" t="str">
        <f>IF($U$5="","",$U$5)</f>
        <v/>
      </c>
      <c r="V191" s="40"/>
      <c r="W191" s="40"/>
      <c r="X191" s="40"/>
      <c r="Y191" s="56"/>
      <c r="Z191" s="39" t="str">
        <f>IF($Z$5="","",$Z$5)</f>
        <v/>
      </c>
      <c r="AA191" s="40"/>
      <c r="AB191" s="56"/>
      <c r="AD191" s="8"/>
      <c r="AE191" s="14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6"/>
      <c r="AQ191" s="14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7"/>
      <c r="DA191" s="6"/>
    </row>
    <row r="192" spans="1:105" ht="7.5" customHeight="1">
      <c r="M192" s="58"/>
      <c r="N192" s="59"/>
      <c r="O192" s="60"/>
      <c r="P192" s="58"/>
      <c r="Q192" s="59"/>
      <c r="R192" s="59"/>
      <c r="S192" s="59"/>
      <c r="T192" s="60"/>
      <c r="U192" s="58"/>
      <c r="V192" s="59"/>
      <c r="W192" s="59"/>
      <c r="X192" s="59"/>
      <c r="Y192" s="60"/>
      <c r="Z192" s="58"/>
      <c r="AA192" s="59"/>
      <c r="AB192" s="60"/>
      <c r="AD192" s="8"/>
      <c r="BL192" s="18"/>
      <c r="DA192" s="6"/>
    </row>
    <row r="193" spans="1:105" ht="7.5" customHeight="1">
      <c r="M193" s="58"/>
      <c r="N193" s="59"/>
      <c r="O193" s="60"/>
      <c r="P193" s="58"/>
      <c r="Q193" s="59"/>
      <c r="R193" s="59"/>
      <c r="S193" s="59"/>
      <c r="T193" s="60"/>
      <c r="U193" s="58"/>
      <c r="V193" s="59"/>
      <c r="W193" s="59"/>
      <c r="X193" s="59"/>
      <c r="Y193" s="60"/>
      <c r="Z193" s="58"/>
      <c r="AA193" s="59"/>
      <c r="AB193" s="60"/>
      <c r="AD193" s="8"/>
      <c r="BL193" s="18"/>
      <c r="DA193" s="6"/>
    </row>
    <row r="194" spans="1:105" ht="18">
      <c r="M194" s="58"/>
      <c r="N194" s="59"/>
      <c r="O194" s="60"/>
      <c r="P194" s="58"/>
      <c r="Q194" s="59"/>
      <c r="R194" s="59"/>
      <c r="S194" s="59"/>
      <c r="T194" s="60"/>
      <c r="U194" s="58"/>
      <c r="V194" s="59"/>
      <c r="W194" s="59"/>
      <c r="X194" s="59"/>
      <c r="Y194" s="60"/>
      <c r="Z194" s="58"/>
      <c r="AA194" s="59"/>
      <c r="AB194" s="60"/>
      <c r="AD194" s="8"/>
      <c r="BL194" s="18"/>
      <c r="DA194" s="6"/>
    </row>
    <row r="195" spans="1:105" ht="18">
      <c r="B195" s="61" t="str">
        <f>$B$9</f>
        <v>-</v>
      </c>
      <c r="C195" s="61"/>
      <c r="D195" s="61"/>
      <c r="E195" s="61"/>
      <c r="F195" s="61"/>
      <c r="G195" s="61"/>
      <c r="H195" s="61"/>
      <c r="I195" s="61"/>
      <c r="J195" s="61"/>
      <c r="M195" s="42"/>
      <c r="N195" s="43"/>
      <c r="O195" s="57"/>
      <c r="P195" s="42"/>
      <c r="Q195" s="43"/>
      <c r="R195" s="43"/>
      <c r="S195" s="43"/>
      <c r="T195" s="57"/>
      <c r="U195" s="42"/>
      <c r="V195" s="43"/>
      <c r="W195" s="43"/>
      <c r="X195" s="43"/>
      <c r="Y195" s="57"/>
      <c r="Z195" s="42"/>
      <c r="AA195" s="43"/>
      <c r="AB195" s="57"/>
      <c r="AD195" s="8"/>
      <c r="AE195" s="19" t="s">
        <v>64</v>
      </c>
      <c r="AF195" s="35"/>
      <c r="AG195" s="36"/>
      <c r="AH195" s="36"/>
      <c r="AI195" s="36"/>
      <c r="AJ195" s="36"/>
      <c r="AK195" s="36"/>
      <c r="AL195" s="36"/>
      <c r="AM195" s="36"/>
      <c r="AN195" s="36"/>
      <c r="AV195" s="19" t="s">
        <v>65</v>
      </c>
      <c r="AW195" s="35"/>
      <c r="AX195" s="36"/>
      <c r="AY195" s="36"/>
      <c r="AZ195" s="36"/>
      <c r="BA195" s="36"/>
      <c r="BB195" s="36"/>
      <c r="BC195" s="36"/>
      <c r="BD195" s="36"/>
      <c r="BE195" s="36"/>
      <c r="BL195" s="18"/>
      <c r="DA195" s="6"/>
    </row>
    <row r="196" spans="1:105" ht="14.25" customHeight="1">
      <c r="AD196" s="8"/>
      <c r="AE196" s="37" t="s">
        <v>16</v>
      </c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V196" s="37" t="s">
        <v>16</v>
      </c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18"/>
      <c r="DA196" s="6"/>
    </row>
    <row r="197" spans="1:105" ht="14.25" customHeight="1">
      <c r="A197" s="39" t="str">
        <f>$A$11</f>
        <v>CIF</v>
      </c>
      <c r="B197" s="40"/>
      <c r="C197" s="40"/>
      <c r="D197" s="41"/>
      <c r="E197" s="45" t="str">
        <f>IF($E$11="","",$E$11)</f>
        <v/>
      </c>
      <c r="F197" s="40"/>
      <c r="G197" s="40"/>
      <c r="H197" s="40"/>
      <c r="I197" s="40"/>
      <c r="J197" s="40"/>
      <c r="K197" s="40"/>
      <c r="L197" s="40"/>
      <c r="M197" s="41"/>
      <c r="N197" s="45" t="str">
        <f>$N$11</f>
        <v>勘定店番</v>
      </c>
      <c r="O197" s="40"/>
      <c r="P197" s="40"/>
      <c r="Q197" s="40"/>
      <c r="R197" s="40"/>
      <c r="S197" s="41"/>
      <c r="T197" s="47" t="str">
        <f>IF($T$11="","",$T$11)</f>
        <v/>
      </c>
      <c r="U197" s="48"/>
      <c r="V197" s="48"/>
      <c r="W197" s="48"/>
      <c r="X197" s="48"/>
      <c r="Y197" s="48"/>
      <c r="Z197" s="48"/>
      <c r="AA197" s="48"/>
      <c r="AB197" s="49"/>
      <c r="AD197" s="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18"/>
      <c r="DA197" s="6"/>
    </row>
    <row r="198" spans="1:105" ht="14.25" customHeight="1">
      <c r="A198" s="42"/>
      <c r="B198" s="43"/>
      <c r="C198" s="43"/>
      <c r="D198" s="44"/>
      <c r="E198" s="46"/>
      <c r="F198" s="43"/>
      <c r="G198" s="43"/>
      <c r="H198" s="43"/>
      <c r="I198" s="43"/>
      <c r="J198" s="43"/>
      <c r="K198" s="43"/>
      <c r="L198" s="43"/>
      <c r="M198" s="44"/>
      <c r="N198" s="53" t="str">
        <f>$N$12</f>
        <v>(勘定移管レス先のみ)</v>
      </c>
      <c r="O198" s="54"/>
      <c r="P198" s="54"/>
      <c r="Q198" s="54"/>
      <c r="R198" s="54"/>
      <c r="S198" s="55"/>
      <c r="T198" s="50"/>
      <c r="U198" s="51"/>
      <c r="V198" s="51"/>
      <c r="W198" s="51"/>
      <c r="X198" s="51"/>
      <c r="Y198" s="51"/>
      <c r="Z198" s="51"/>
      <c r="AA198" s="51"/>
      <c r="AB198" s="52"/>
      <c r="AD198" s="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18"/>
      <c r="DA198" s="6"/>
    </row>
    <row r="199" spans="1:105" ht="14.25" customHeight="1">
      <c r="A199" s="39" t="str">
        <f>$A$13</f>
        <v>債務者名</v>
      </c>
      <c r="B199" s="40"/>
      <c r="C199" s="40"/>
      <c r="D199" s="41"/>
      <c r="E199" s="45" t="str">
        <f>IF($E$13="","",$E$13)</f>
        <v/>
      </c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56"/>
      <c r="AD199" s="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18"/>
      <c r="DA199" s="6"/>
    </row>
    <row r="200" spans="1:105" ht="14.25" customHeight="1">
      <c r="A200" s="42"/>
      <c r="B200" s="43"/>
      <c r="C200" s="43"/>
      <c r="D200" s="44"/>
      <c r="E200" s="46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57"/>
      <c r="AD200" s="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18"/>
      <c r="DA200" s="6"/>
    </row>
    <row r="201" spans="1:105" ht="14.25" customHeight="1">
      <c r="A201" s="3"/>
      <c r="B201" s="4" t="s">
        <v>24</v>
      </c>
      <c r="C201" s="4"/>
      <c r="D201" s="4"/>
      <c r="E201" s="4"/>
      <c r="F201" s="4" t="s">
        <v>25</v>
      </c>
      <c r="G201" s="4"/>
      <c r="H201" s="4" t="s">
        <v>26</v>
      </c>
      <c r="I201" s="4"/>
      <c r="J201" s="4" t="s">
        <v>27</v>
      </c>
      <c r="K201" s="4"/>
      <c r="L201" s="4" t="s">
        <v>26</v>
      </c>
      <c r="M201" s="4" t="s">
        <v>28</v>
      </c>
      <c r="N201" s="4"/>
      <c r="O201" s="4"/>
      <c r="P201" s="4" t="s">
        <v>29</v>
      </c>
      <c r="Q201" s="20" t="s">
        <v>30</v>
      </c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D201" s="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18"/>
      <c r="DA201" s="6"/>
    </row>
    <row r="202" spans="1:105" ht="14.25" customHeight="1">
      <c r="A202" s="8"/>
      <c r="AB202" s="18"/>
      <c r="AD202" s="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18"/>
      <c r="DA202" s="6"/>
    </row>
    <row r="203" spans="1:105" ht="14.25" customHeight="1">
      <c r="A203" s="8"/>
      <c r="B203" s="1" t="s">
        <v>33</v>
      </c>
      <c r="G203" s="1" t="s">
        <v>34</v>
      </c>
      <c r="AB203" s="18"/>
      <c r="AD203" s="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18"/>
      <c r="DA203" s="6"/>
    </row>
    <row r="204" spans="1:105" ht="14.25" customHeight="1">
      <c r="A204" s="8"/>
      <c r="G204" s="1" t="s">
        <v>36</v>
      </c>
      <c r="AB204" s="18"/>
      <c r="AD204" s="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18"/>
      <c r="DA204" s="6"/>
    </row>
    <row r="205" spans="1:105" ht="14.25" customHeight="1">
      <c r="A205" s="8"/>
      <c r="AB205" s="18"/>
      <c r="AD205" s="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18"/>
      <c r="DA205" s="6"/>
    </row>
    <row r="206" spans="1:105" ht="14.25" customHeight="1">
      <c r="A206" s="8"/>
      <c r="B206" s="37" t="s">
        <v>39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18"/>
      <c r="AD206" s="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18"/>
      <c r="DA206" s="6"/>
    </row>
    <row r="207" spans="1:105" ht="14.25" customHeight="1">
      <c r="A207" s="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18"/>
      <c r="AD207" s="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18"/>
      <c r="DA207" s="6"/>
    </row>
    <row r="208" spans="1:105" ht="14.25" customHeight="1">
      <c r="A208" s="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18"/>
      <c r="AD208" s="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18"/>
      <c r="DA208" s="6"/>
    </row>
    <row r="209" spans="1:105" ht="14.25" customHeight="1">
      <c r="A209" s="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18"/>
      <c r="AD209" s="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18"/>
      <c r="DA209" s="6"/>
    </row>
    <row r="210" spans="1:105" ht="14.25" customHeight="1">
      <c r="A210" s="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18"/>
      <c r="AD210" s="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18"/>
      <c r="DA210" s="6"/>
    </row>
    <row r="211" spans="1:105" ht="14.25" customHeight="1">
      <c r="A211" s="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18"/>
      <c r="AD211" s="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18"/>
      <c r="DA211" s="6"/>
    </row>
    <row r="212" spans="1:105" ht="4.5" customHeight="1">
      <c r="A212" s="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18"/>
      <c r="AD212" s="8"/>
      <c r="BL212" s="18"/>
      <c r="DA212" s="6"/>
    </row>
    <row r="213" spans="1:105" ht="13.5" customHeight="1">
      <c r="A213" s="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18"/>
      <c r="AD213" s="8"/>
      <c r="AE213" s="19" t="s">
        <v>66</v>
      </c>
      <c r="AF213" s="35"/>
      <c r="AG213" s="36"/>
      <c r="AH213" s="36"/>
      <c r="AI213" s="36"/>
      <c r="AJ213" s="36"/>
      <c r="AK213" s="36"/>
      <c r="AL213" s="36"/>
      <c r="AM213" s="36"/>
      <c r="AN213" s="36"/>
      <c r="AV213" s="19" t="s">
        <v>67</v>
      </c>
      <c r="AW213" s="35"/>
      <c r="AX213" s="36"/>
      <c r="AY213" s="36"/>
      <c r="AZ213" s="36"/>
      <c r="BA213" s="36"/>
      <c r="BB213" s="36"/>
      <c r="BC213" s="36"/>
      <c r="BD213" s="36"/>
      <c r="BE213" s="36"/>
      <c r="BL213" s="18"/>
      <c r="DA213" s="6"/>
    </row>
    <row r="214" spans="1:105" ht="14.25" customHeight="1">
      <c r="A214" s="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18"/>
      <c r="AD214" s="8"/>
      <c r="AE214" s="37" t="s">
        <v>16</v>
      </c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V214" s="37" t="s">
        <v>16</v>
      </c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18"/>
    </row>
    <row r="215" spans="1:105" ht="14.25" customHeight="1">
      <c r="A215" s="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18"/>
      <c r="AD215" s="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18"/>
    </row>
    <row r="216" spans="1:105" ht="14.25" customHeight="1">
      <c r="A216" s="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18"/>
      <c r="AD216" s="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18"/>
    </row>
    <row r="217" spans="1:105" ht="14.25" customHeight="1">
      <c r="A217" s="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18"/>
      <c r="AD217" s="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18"/>
    </row>
    <row r="218" spans="1:105" ht="14.25" customHeight="1">
      <c r="A218" s="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18"/>
      <c r="AD218" s="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18"/>
    </row>
    <row r="219" spans="1:105" ht="14.25" customHeight="1">
      <c r="A219" s="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18"/>
      <c r="AD219" s="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18"/>
    </row>
    <row r="220" spans="1:105" ht="14.25" customHeight="1">
      <c r="A220" s="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18"/>
      <c r="AD220" s="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18"/>
    </row>
    <row r="221" spans="1:105" ht="14.25" customHeight="1">
      <c r="A221" s="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18"/>
      <c r="AD221" s="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18"/>
    </row>
    <row r="222" spans="1:105" ht="14.25" customHeight="1">
      <c r="A222" s="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18"/>
      <c r="AD222" s="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18"/>
    </row>
    <row r="223" spans="1:105" ht="14.25" customHeight="1">
      <c r="A223" s="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18"/>
      <c r="AD223" s="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18"/>
    </row>
    <row r="224" spans="1:105" ht="14.25" customHeight="1">
      <c r="A224" s="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18"/>
      <c r="AD224" s="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18"/>
    </row>
    <row r="225" spans="1:64" ht="14.25" customHeight="1">
      <c r="A225" s="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18"/>
      <c r="AD225" s="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18"/>
    </row>
    <row r="226" spans="1:64" ht="14.25" customHeight="1">
      <c r="A226" s="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18"/>
      <c r="AD226" s="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18"/>
    </row>
    <row r="227" spans="1:64" ht="14.25" customHeight="1">
      <c r="A227" s="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18"/>
      <c r="AD227" s="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18"/>
    </row>
    <row r="228" spans="1:64" ht="14.25" customHeight="1">
      <c r="A228" s="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18"/>
      <c r="AD228" s="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18"/>
    </row>
    <row r="229" spans="1:64" ht="14.25" customHeight="1">
      <c r="A229" s="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18"/>
      <c r="AD229" s="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18"/>
    </row>
    <row r="230" spans="1:64" ht="4.5" customHeight="1">
      <c r="A230" s="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18"/>
      <c r="AD230" s="8"/>
      <c r="BL230" s="18"/>
    </row>
    <row r="231" spans="1:64" ht="13.5" customHeight="1">
      <c r="A231" s="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18"/>
      <c r="AD231" s="8"/>
      <c r="AE231" s="19" t="s">
        <v>68</v>
      </c>
      <c r="AF231" s="35"/>
      <c r="AG231" s="36"/>
      <c r="AH231" s="36"/>
      <c r="AI231" s="36"/>
      <c r="AJ231" s="36"/>
      <c r="AK231" s="36"/>
      <c r="AL231" s="36"/>
      <c r="AM231" s="36"/>
      <c r="AN231" s="36"/>
      <c r="AV231" s="19" t="s">
        <v>69</v>
      </c>
      <c r="AW231" s="35"/>
      <c r="AX231" s="36"/>
      <c r="AY231" s="36"/>
      <c r="AZ231" s="36"/>
      <c r="BA231" s="36"/>
      <c r="BB231" s="36"/>
      <c r="BC231" s="36"/>
      <c r="BD231" s="36"/>
      <c r="BE231" s="36"/>
      <c r="BL231" s="18"/>
    </row>
    <row r="232" spans="1:64" ht="14.25" customHeight="1">
      <c r="A232" s="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18"/>
      <c r="AD232" s="8"/>
      <c r="AE232" s="37" t="s">
        <v>16</v>
      </c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V232" s="37" t="s">
        <v>16</v>
      </c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18"/>
    </row>
    <row r="233" spans="1:64" ht="14.25" customHeight="1">
      <c r="A233" s="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18"/>
      <c r="AD233" s="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18"/>
    </row>
    <row r="234" spans="1:64" ht="14.25" customHeight="1">
      <c r="A234" s="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18"/>
      <c r="AD234" s="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18"/>
    </row>
    <row r="235" spans="1:64" ht="14.25" customHeight="1">
      <c r="A235" s="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18"/>
      <c r="AD235" s="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18"/>
    </row>
    <row r="236" spans="1:64" ht="14.25" customHeight="1">
      <c r="A236" s="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18"/>
      <c r="AD236" s="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18"/>
    </row>
    <row r="237" spans="1:64" ht="14.25" customHeight="1">
      <c r="A237" s="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18"/>
      <c r="AD237" s="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18"/>
    </row>
    <row r="238" spans="1:64" ht="14.25" customHeight="1">
      <c r="A238" s="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18"/>
      <c r="AD238" s="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18"/>
    </row>
    <row r="239" spans="1:64" ht="14.25" customHeight="1">
      <c r="A239" s="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18"/>
      <c r="AD239" s="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18"/>
    </row>
    <row r="240" spans="1:64" ht="14.25" customHeight="1">
      <c r="A240" s="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18"/>
      <c r="AD240" s="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18"/>
    </row>
    <row r="241" spans="1:105" ht="14.25" customHeight="1">
      <c r="A241" s="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18"/>
      <c r="AD241" s="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18"/>
    </row>
    <row r="242" spans="1:105" ht="14.25" customHeight="1">
      <c r="A242" s="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18"/>
      <c r="AD242" s="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18"/>
    </row>
    <row r="243" spans="1:105" ht="14.25" customHeight="1">
      <c r="A243" s="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18"/>
      <c r="AD243" s="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18"/>
    </row>
    <row r="244" spans="1:105" ht="14.25" customHeight="1">
      <c r="A244" s="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18"/>
      <c r="AD244" s="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18"/>
    </row>
    <row r="245" spans="1:105" ht="14.25" customHeight="1">
      <c r="A245" s="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18"/>
      <c r="AD245" s="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18"/>
    </row>
    <row r="246" spans="1:105" ht="14.25" customHeight="1">
      <c r="A246" s="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18"/>
      <c r="AD246" s="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18"/>
    </row>
    <row r="247" spans="1:105" ht="14.25" customHeight="1">
      <c r="A247" s="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18"/>
      <c r="AD247" s="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18"/>
    </row>
    <row r="248" spans="1:105" ht="5.25" customHeight="1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3"/>
      <c r="AD248" s="21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3"/>
    </row>
    <row r="249" spans="1:105" ht="7.5" customHeight="1"/>
    <row r="250" spans="1:105" ht="22">
      <c r="A250" s="2" t="s">
        <v>0</v>
      </c>
      <c r="M250" s="65">
        <f>$M$2</f>
        <v>1</v>
      </c>
      <c r="N250" s="65"/>
      <c r="AD250" s="3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25" t="str">
        <f>IF($BB$2="","",$BB$2)</f>
        <v/>
      </c>
      <c r="BC250" s="26"/>
      <c r="BD250" s="26"/>
      <c r="BE250" s="26"/>
      <c r="BF250" s="27"/>
      <c r="BG250" s="26">
        <f>$BG$2</f>
        <v>3159205</v>
      </c>
      <c r="BH250" s="26"/>
      <c r="BI250" s="26"/>
      <c r="BJ250" s="26"/>
      <c r="BK250" s="26"/>
      <c r="BL250" s="5"/>
      <c r="DA250" s="6"/>
    </row>
    <row r="251" spans="1:105" ht="7.5" customHeight="1">
      <c r="A251" s="7"/>
      <c r="AD251" s="8"/>
      <c r="AE251" s="9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1"/>
      <c r="AQ251" s="9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2"/>
      <c r="DA251" s="6"/>
    </row>
    <row r="252" spans="1:105" ht="18">
      <c r="M252" s="28" t="s">
        <v>3</v>
      </c>
      <c r="N252" s="29"/>
      <c r="O252" s="30"/>
      <c r="P252" s="28" t="str">
        <f>IF($CB$2=1,"勘 定 店 名","店　　名")</f>
        <v>店　　名</v>
      </c>
      <c r="Q252" s="29"/>
      <c r="R252" s="29"/>
      <c r="S252" s="29"/>
      <c r="T252" s="30"/>
      <c r="U252" s="28" t="s">
        <v>4</v>
      </c>
      <c r="V252" s="29"/>
      <c r="W252" s="29"/>
      <c r="X252" s="29"/>
      <c r="Y252" s="30"/>
      <c r="Z252" s="28" t="s">
        <v>5</v>
      </c>
      <c r="AA252" s="29"/>
      <c r="AB252" s="30"/>
      <c r="AD252" s="8"/>
      <c r="AE252" s="13"/>
      <c r="AF252" s="1" t="s">
        <v>6</v>
      </c>
      <c r="AJ252" s="31" t="str">
        <f>$AJ$4</f>
        <v>-</v>
      </c>
      <c r="AK252" s="31"/>
      <c r="AL252" s="31"/>
      <c r="AM252" s="31"/>
      <c r="AN252" s="31"/>
      <c r="AO252" s="31"/>
      <c r="AP252" s="32"/>
      <c r="AQ252" s="13"/>
      <c r="AR252" s="1" t="s">
        <v>7</v>
      </c>
      <c r="AV252" s="33" t="str">
        <f>$AV$4</f>
        <v>埼玉県秩父郡小鹿野町両神薄字中原里248-2</v>
      </c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4"/>
      <c r="DA252" s="6"/>
    </row>
    <row r="253" spans="1:105" ht="7.5" customHeight="1">
      <c r="M253" s="39" t="str">
        <f>IF($M$5="","",$M$5)</f>
        <v/>
      </c>
      <c r="N253" s="40"/>
      <c r="O253" s="56"/>
      <c r="P253" s="39" t="str">
        <f>IF($P$5="","",$P$5)</f>
        <v/>
      </c>
      <c r="Q253" s="40"/>
      <c r="R253" s="40"/>
      <c r="S253" s="40"/>
      <c r="T253" s="56"/>
      <c r="U253" s="39" t="str">
        <f>IF($U$5="","",$U$5)</f>
        <v/>
      </c>
      <c r="V253" s="40"/>
      <c r="W253" s="40"/>
      <c r="X253" s="40"/>
      <c r="Y253" s="56"/>
      <c r="Z253" s="39" t="str">
        <f>IF($Z$5="","",$Z$5)</f>
        <v/>
      </c>
      <c r="AA253" s="40"/>
      <c r="AB253" s="56"/>
      <c r="AD253" s="8"/>
      <c r="AE253" s="14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6"/>
      <c r="AQ253" s="14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7"/>
      <c r="DA253" s="6"/>
    </row>
    <row r="254" spans="1:105" ht="7.5" customHeight="1">
      <c r="M254" s="58"/>
      <c r="N254" s="59"/>
      <c r="O254" s="60"/>
      <c r="P254" s="58"/>
      <c r="Q254" s="59"/>
      <c r="R254" s="59"/>
      <c r="S254" s="59"/>
      <c r="T254" s="60"/>
      <c r="U254" s="58"/>
      <c r="V254" s="59"/>
      <c r="W254" s="59"/>
      <c r="X254" s="59"/>
      <c r="Y254" s="60"/>
      <c r="Z254" s="58"/>
      <c r="AA254" s="59"/>
      <c r="AB254" s="60"/>
      <c r="AD254" s="8"/>
      <c r="BL254" s="18"/>
      <c r="DA254" s="6"/>
    </row>
    <row r="255" spans="1:105" ht="7.5" customHeight="1">
      <c r="M255" s="58"/>
      <c r="N255" s="59"/>
      <c r="O255" s="60"/>
      <c r="P255" s="58"/>
      <c r="Q255" s="59"/>
      <c r="R255" s="59"/>
      <c r="S255" s="59"/>
      <c r="T255" s="60"/>
      <c r="U255" s="58"/>
      <c r="V255" s="59"/>
      <c r="W255" s="59"/>
      <c r="X255" s="59"/>
      <c r="Y255" s="60"/>
      <c r="Z255" s="58"/>
      <c r="AA255" s="59"/>
      <c r="AB255" s="60"/>
      <c r="AD255" s="8"/>
      <c r="BL255" s="18"/>
      <c r="DA255" s="6"/>
    </row>
    <row r="256" spans="1:105" ht="18">
      <c r="M256" s="58"/>
      <c r="N256" s="59"/>
      <c r="O256" s="60"/>
      <c r="P256" s="58"/>
      <c r="Q256" s="59"/>
      <c r="R256" s="59"/>
      <c r="S256" s="59"/>
      <c r="T256" s="60"/>
      <c r="U256" s="58"/>
      <c r="V256" s="59"/>
      <c r="W256" s="59"/>
      <c r="X256" s="59"/>
      <c r="Y256" s="60"/>
      <c r="Z256" s="58"/>
      <c r="AA256" s="59"/>
      <c r="AB256" s="60"/>
      <c r="AD256" s="8"/>
      <c r="BL256" s="18"/>
      <c r="DA256" s="6"/>
    </row>
    <row r="257" spans="1:105" ht="18">
      <c r="B257" s="61" t="str">
        <f>$B$9</f>
        <v>-</v>
      </c>
      <c r="C257" s="61"/>
      <c r="D257" s="61"/>
      <c r="E257" s="61"/>
      <c r="F257" s="61"/>
      <c r="G257" s="61"/>
      <c r="H257" s="61"/>
      <c r="I257" s="61"/>
      <c r="J257" s="61"/>
      <c r="M257" s="42"/>
      <c r="N257" s="43"/>
      <c r="O257" s="57"/>
      <c r="P257" s="42"/>
      <c r="Q257" s="43"/>
      <c r="R257" s="43"/>
      <c r="S257" s="43"/>
      <c r="T257" s="57"/>
      <c r="U257" s="42"/>
      <c r="V257" s="43"/>
      <c r="W257" s="43"/>
      <c r="X257" s="43"/>
      <c r="Y257" s="57"/>
      <c r="Z257" s="42"/>
      <c r="AA257" s="43"/>
      <c r="AB257" s="57"/>
      <c r="AD257" s="8"/>
      <c r="AE257" s="19" t="s">
        <v>70</v>
      </c>
      <c r="AF257" s="35"/>
      <c r="AG257" s="36"/>
      <c r="AH257" s="36"/>
      <c r="AI257" s="36"/>
      <c r="AJ257" s="36"/>
      <c r="AK257" s="36"/>
      <c r="AL257" s="36"/>
      <c r="AM257" s="36"/>
      <c r="AN257" s="36"/>
      <c r="AV257" s="19" t="s">
        <v>71</v>
      </c>
      <c r="AW257" s="35"/>
      <c r="AX257" s="36"/>
      <c r="AY257" s="36"/>
      <c r="AZ257" s="36"/>
      <c r="BA257" s="36"/>
      <c r="BB257" s="36"/>
      <c r="BC257" s="36"/>
      <c r="BD257" s="36"/>
      <c r="BE257" s="36"/>
      <c r="BL257" s="18"/>
      <c r="DA257" s="6"/>
    </row>
    <row r="258" spans="1:105" ht="14.25" customHeight="1">
      <c r="AD258" s="8"/>
      <c r="AE258" s="37" t="s">
        <v>16</v>
      </c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V258" s="37" t="s">
        <v>16</v>
      </c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18"/>
      <c r="DA258" s="6"/>
    </row>
    <row r="259" spans="1:105" ht="14.25" customHeight="1">
      <c r="A259" s="39" t="str">
        <f>$A$11</f>
        <v>CIF</v>
      </c>
      <c r="B259" s="40"/>
      <c r="C259" s="40"/>
      <c r="D259" s="41"/>
      <c r="E259" s="45" t="str">
        <f>IF($E$11="","",$E$11)</f>
        <v/>
      </c>
      <c r="F259" s="40"/>
      <c r="G259" s="40"/>
      <c r="H259" s="40"/>
      <c r="I259" s="40"/>
      <c r="J259" s="40"/>
      <c r="K259" s="40"/>
      <c r="L259" s="40"/>
      <c r="M259" s="41"/>
      <c r="N259" s="45" t="str">
        <f>$N$11</f>
        <v>勘定店番</v>
      </c>
      <c r="O259" s="40"/>
      <c r="P259" s="40"/>
      <c r="Q259" s="40"/>
      <c r="R259" s="40"/>
      <c r="S259" s="41"/>
      <c r="T259" s="47" t="str">
        <f>IF($T$11="","",$T$11)</f>
        <v/>
      </c>
      <c r="U259" s="48"/>
      <c r="V259" s="48"/>
      <c r="W259" s="48"/>
      <c r="X259" s="48"/>
      <c r="Y259" s="48"/>
      <c r="Z259" s="48"/>
      <c r="AA259" s="48"/>
      <c r="AB259" s="49"/>
      <c r="AD259" s="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18"/>
      <c r="DA259" s="6"/>
    </row>
    <row r="260" spans="1:105" ht="14.25" customHeight="1">
      <c r="A260" s="42"/>
      <c r="B260" s="43"/>
      <c r="C260" s="43"/>
      <c r="D260" s="44"/>
      <c r="E260" s="46"/>
      <c r="F260" s="43"/>
      <c r="G260" s="43"/>
      <c r="H260" s="43"/>
      <c r="I260" s="43"/>
      <c r="J260" s="43"/>
      <c r="K260" s="43"/>
      <c r="L260" s="43"/>
      <c r="M260" s="44"/>
      <c r="N260" s="53" t="str">
        <f>$N$12</f>
        <v>(勘定移管レス先のみ)</v>
      </c>
      <c r="O260" s="54"/>
      <c r="P260" s="54"/>
      <c r="Q260" s="54"/>
      <c r="R260" s="54"/>
      <c r="S260" s="55"/>
      <c r="T260" s="50"/>
      <c r="U260" s="51"/>
      <c r="V260" s="51"/>
      <c r="W260" s="51"/>
      <c r="X260" s="51"/>
      <c r="Y260" s="51"/>
      <c r="Z260" s="51"/>
      <c r="AA260" s="51"/>
      <c r="AB260" s="52"/>
      <c r="AD260" s="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18"/>
      <c r="DA260" s="6"/>
    </row>
    <row r="261" spans="1:105" ht="14.25" customHeight="1">
      <c r="A261" s="39" t="str">
        <f>$A$13</f>
        <v>債務者名</v>
      </c>
      <c r="B261" s="40"/>
      <c r="C261" s="40"/>
      <c r="D261" s="41"/>
      <c r="E261" s="45" t="str">
        <f>IF($E$13="","",$E$13)</f>
        <v/>
      </c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56"/>
      <c r="AD261" s="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18"/>
      <c r="DA261" s="6"/>
    </row>
    <row r="262" spans="1:105" ht="14.25" customHeight="1">
      <c r="A262" s="42"/>
      <c r="B262" s="43"/>
      <c r="C262" s="43"/>
      <c r="D262" s="44"/>
      <c r="E262" s="46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57"/>
      <c r="AD262" s="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18"/>
      <c r="DA262" s="6"/>
    </row>
    <row r="263" spans="1:105" ht="14.25" customHeight="1">
      <c r="A263" s="3"/>
      <c r="B263" s="4" t="s">
        <v>24</v>
      </c>
      <c r="C263" s="4"/>
      <c r="D263" s="4"/>
      <c r="E263" s="4"/>
      <c r="F263" s="4" t="s">
        <v>25</v>
      </c>
      <c r="G263" s="4"/>
      <c r="H263" s="4" t="s">
        <v>26</v>
      </c>
      <c r="I263" s="4"/>
      <c r="J263" s="4" t="s">
        <v>27</v>
      </c>
      <c r="K263" s="4"/>
      <c r="L263" s="4" t="s">
        <v>26</v>
      </c>
      <c r="M263" s="4" t="s">
        <v>28</v>
      </c>
      <c r="N263" s="4"/>
      <c r="O263" s="4"/>
      <c r="P263" s="4" t="s">
        <v>29</v>
      </c>
      <c r="Q263" s="20" t="s">
        <v>30</v>
      </c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D263" s="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18"/>
      <c r="DA263" s="6"/>
    </row>
    <row r="264" spans="1:105" ht="14.25" customHeight="1">
      <c r="A264" s="8"/>
      <c r="AB264" s="18"/>
      <c r="AD264" s="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18"/>
      <c r="DA264" s="6"/>
    </row>
    <row r="265" spans="1:105" ht="14.25" customHeight="1">
      <c r="A265" s="8"/>
      <c r="B265" s="1" t="s">
        <v>33</v>
      </c>
      <c r="G265" s="1" t="s">
        <v>34</v>
      </c>
      <c r="AB265" s="18"/>
      <c r="AD265" s="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18"/>
      <c r="DA265" s="6"/>
    </row>
    <row r="266" spans="1:105" ht="14.25" customHeight="1">
      <c r="A266" s="8"/>
      <c r="G266" s="1" t="s">
        <v>36</v>
      </c>
      <c r="AB266" s="18"/>
      <c r="AD266" s="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18"/>
      <c r="DA266" s="6"/>
    </row>
    <row r="267" spans="1:105" ht="14.25" customHeight="1">
      <c r="A267" s="8"/>
      <c r="AB267" s="18"/>
      <c r="AD267" s="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18"/>
      <c r="DA267" s="6"/>
    </row>
    <row r="268" spans="1:105" ht="14.25" customHeight="1">
      <c r="A268" s="8"/>
      <c r="B268" s="37" t="s">
        <v>39</v>
      </c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18"/>
      <c r="AD268" s="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18"/>
      <c r="DA268" s="6"/>
    </row>
    <row r="269" spans="1:105" ht="14.25" customHeight="1">
      <c r="A269" s="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18"/>
      <c r="AD269" s="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18"/>
      <c r="DA269" s="6"/>
    </row>
    <row r="270" spans="1:105" ht="14.25" customHeight="1">
      <c r="A270" s="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18"/>
      <c r="AD270" s="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18"/>
      <c r="DA270" s="6"/>
    </row>
    <row r="271" spans="1:105" ht="14.25" customHeight="1">
      <c r="A271" s="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18"/>
      <c r="AD271" s="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18"/>
      <c r="DA271" s="6"/>
    </row>
    <row r="272" spans="1:105" ht="14.25" customHeight="1">
      <c r="A272" s="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18"/>
      <c r="AD272" s="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18"/>
      <c r="DA272" s="6"/>
    </row>
    <row r="273" spans="1:105" ht="14.25" customHeight="1">
      <c r="A273" s="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18"/>
      <c r="AD273" s="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18"/>
      <c r="DA273" s="6"/>
    </row>
    <row r="274" spans="1:105" ht="4.5" customHeight="1">
      <c r="A274" s="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18"/>
      <c r="AD274" s="8"/>
      <c r="BL274" s="18"/>
      <c r="DA274" s="6"/>
    </row>
    <row r="275" spans="1:105" ht="13.5" customHeight="1">
      <c r="A275" s="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18"/>
      <c r="AD275" s="8"/>
      <c r="AE275" s="19" t="s">
        <v>72</v>
      </c>
      <c r="AF275" s="35"/>
      <c r="AG275" s="36"/>
      <c r="AH275" s="36"/>
      <c r="AI275" s="36"/>
      <c r="AJ275" s="36"/>
      <c r="AK275" s="36"/>
      <c r="AL275" s="36"/>
      <c r="AM275" s="36"/>
      <c r="AN275" s="36"/>
      <c r="AV275" s="19" t="s">
        <v>73</v>
      </c>
      <c r="AW275" s="35"/>
      <c r="AX275" s="36"/>
      <c r="AY275" s="36"/>
      <c r="AZ275" s="36"/>
      <c r="BA275" s="36"/>
      <c r="BB275" s="36"/>
      <c r="BC275" s="36"/>
      <c r="BD275" s="36"/>
      <c r="BE275" s="36"/>
      <c r="BL275" s="18"/>
      <c r="DA275" s="6"/>
    </row>
    <row r="276" spans="1:105" ht="14.25" customHeight="1">
      <c r="A276" s="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18"/>
      <c r="AD276" s="8"/>
      <c r="AE276" s="37" t="s">
        <v>16</v>
      </c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V276" s="37" t="s">
        <v>16</v>
      </c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18"/>
    </row>
    <row r="277" spans="1:105" ht="14.25" customHeight="1">
      <c r="A277" s="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18"/>
      <c r="AD277" s="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18"/>
    </row>
    <row r="278" spans="1:105" ht="14.25" customHeight="1">
      <c r="A278" s="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18"/>
      <c r="AD278" s="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18"/>
    </row>
    <row r="279" spans="1:105" ht="14.25" customHeight="1">
      <c r="A279" s="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18"/>
      <c r="AD279" s="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18"/>
    </row>
    <row r="280" spans="1:105" ht="14.25" customHeight="1">
      <c r="A280" s="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18"/>
      <c r="AD280" s="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18"/>
    </row>
    <row r="281" spans="1:105" ht="14.25" customHeight="1">
      <c r="A281" s="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18"/>
      <c r="AD281" s="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18"/>
    </row>
    <row r="282" spans="1:105" ht="14.25" customHeight="1">
      <c r="A282" s="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18"/>
      <c r="AD282" s="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18"/>
    </row>
    <row r="283" spans="1:105" ht="14.25" customHeight="1">
      <c r="A283" s="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18"/>
      <c r="AD283" s="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18"/>
    </row>
    <row r="284" spans="1:105" ht="14.25" customHeight="1">
      <c r="A284" s="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18"/>
      <c r="AD284" s="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18"/>
    </row>
    <row r="285" spans="1:105" ht="14.25" customHeight="1">
      <c r="A285" s="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18"/>
      <c r="AD285" s="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18"/>
    </row>
    <row r="286" spans="1:105" ht="14.25" customHeight="1">
      <c r="A286" s="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18"/>
      <c r="AD286" s="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18"/>
    </row>
    <row r="287" spans="1:105" ht="14.25" customHeight="1">
      <c r="A287" s="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18"/>
      <c r="AD287" s="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18"/>
    </row>
    <row r="288" spans="1:105" ht="14.25" customHeight="1">
      <c r="A288" s="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18"/>
      <c r="AD288" s="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18"/>
    </row>
    <row r="289" spans="1:64" ht="14.25" customHeight="1">
      <c r="A289" s="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18"/>
      <c r="AD289" s="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18"/>
    </row>
    <row r="290" spans="1:64" ht="14.25" customHeight="1">
      <c r="A290" s="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18"/>
      <c r="AD290" s="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18"/>
    </row>
    <row r="291" spans="1:64" ht="14.25" customHeight="1">
      <c r="A291" s="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18"/>
      <c r="AD291" s="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18"/>
    </row>
    <row r="292" spans="1:64" ht="4.5" customHeight="1">
      <c r="A292" s="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18"/>
      <c r="AD292" s="8"/>
      <c r="BL292" s="18"/>
    </row>
    <row r="293" spans="1:64" ht="13.5" customHeight="1">
      <c r="A293" s="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18"/>
      <c r="AD293" s="8"/>
      <c r="AE293" s="19" t="s">
        <v>74</v>
      </c>
      <c r="AF293" s="35"/>
      <c r="AG293" s="36"/>
      <c r="AH293" s="36"/>
      <c r="AI293" s="36"/>
      <c r="AJ293" s="36"/>
      <c r="AK293" s="36"/>
      <c r="AL293" s="36"/>
      <c r="AM293" s="36"/>
      <c r="AN293" s="36"/>
      <c r="AV293" s="19" t="s">
        <v>75</v>
      </c>
      <c r="AW293" s="35"/>
      <c r="AX293" s="36"/>
      <c r="AY293" s="36"/>
      <c r="AZ293" s="36"/>
      <c r="BA293" s="36"/>
      <c r="BB293" s="36"/>
      <c r="BC293" s="36"/>
      <c r="BD293" s="36"/>
      <c r="BE293" s="36"/>
      <c r="BL293" s="18"/>
    </row>
    <row r="294" spans="1:64" ht="14.25" customHeight="1">
      <c r="A294" s="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18"/>
      <c r="AD294" s="8"/>
      <c r="AE294" s="37" t="s">
        <v>16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V294" s="37" t="s">
        <v>16</v>
      </c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18"/>
    </row>
    <row r="295" spans="1:64" ht="14.25" customHeight="1">
      <c r="A295" s="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18"/>
      <c r="AD295" s="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18"/>
    </row>
    <row r="296" spans="1:64" ht="14.25" customHeight="1">
      <c r="A296" s="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18"/>
      <c r="AD296" s="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18"/>
    </row>
    <row r="297" spans="1:64" ht="14.25" customHeight="1">
      <c r="A297" s="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18"/>
      <c r="AD297" s="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18"/>
    </row>
    <row r="298" spans="1:64" ht="14.25" customHeight="1">
      <c r="A298" s="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18"/>
      <c r="AD298" s="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18"/>
    </row>
    <row r="299" spans="1:64" ht="14.25" customHeight="1">
      <c r="A299" s="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18"/>
      <c r="AD299" s="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18"/>
    </row>
    <row r="300" spans="1:64" ht="14.25" customHeight="1">
      <c r="A300" s="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18"/>
      <c r="AD300" s="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18"/>
    </row>
    <row r="301" spans="1:64" ht="14.25" customHeight="1">
      <c r="A301" s="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18"/>
      <c r="AD301" s="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18"/>
    </row>
    <row r="302" spans="1:64" ht="14.25" customHeight="1">
      <c r="A302" s="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18"/>
      <c r="AD302" s="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18"/>
    </row>
    <row r="303" spans="1:64" ht="14.25" customHeight="1">
      <c r="A303" s="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18"/>
      <c r="AD303" s="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18"/>
    </row>
    <row r="304" spans="1:64" ht="14.25" customHeight="1">
      <c r="A304" s="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18"/>
      <c r="AD304" s="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18"/>
    </row>
    <row r="305" spans="1:105" ht="14.25" customHeight="1">
      <c r="A305" s="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18"/>
      <c r="AD305" s="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18"/>
    </row>
    <row r="306" spans="1:105" ht="14.25" customHeight="1">
      <c r="A306" s="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18"/>
      <c r="AD306" s="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18"/>
    </row>
    <row r="307" spans="1:105" ht="14.25" customHeight="1">
      <c r="A307" s="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18"/>
      <c r="AD307" s="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18"/>
    </row>
    <row r="308" spans="1:105" ht="14.25" customHeight="1">
      <c r="A308" s="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18"/>
      <c r="AD308" s="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18"/>
    </row>
    <row r="309" spans="1:105" ht="14.25" customHeight="1">
      <c r="A309" s="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18"/>
      <c r="AD309" s="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18"/>
    </row>
    <row r="310" spans="1:105" ht="5.25" customHeight="1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3"/>
      <c r="AD310" s="21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3"/>
    </row>
    <row r="311" spans="1:105" ht="7.5" customHeight="1"/>
    <row r="312" spans="1:105" ht="22">
      <c r="A312" s="2" t="s">
        <v>0</v>
      </c>
      <c r="M312" s="66">
        <f>$M$2</f>
        <v>1</v>
      </c>
      <c r="N312" s="66"/>
      <c r="AD312" s="3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25" t="str">
        <f>IF($BB$2="","",$BB$2)</f>
        <v/>
      </c>
      <c r="BC312" s="26"/>
      <c r="BD312" s="26"/>
      <c r="BE312" s="26"/>
      <c r="BF312" s="27"/>
      <c r="BG312" s="26">
        <f>$BG$2</f>
        <v>3159205</v>
      </c>
      <c r="BH312" s="26"/>
      <c r="BI312" s="26"/>
      <c r="BJ312" s="26"/>
      <c r="BK312" s="26"/>
      <c r="BL312" s="5"/>
      <c r="DA312" s="6"/>
    </row>
    <row r="313" spans="1:105" ht="7.5" customHeight="1">
      <c r="A313" s="7"/>
      <c r="AD313" s="8"/>
      <c r="AE313" s="9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1"/>
      <c r="AQ313" s="9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2"/>
      <c r="DA313" s="6"/>
    </row>
    <row r="314" spans="1:105" ht="18">
      <c r="M314" s="28" t="s">
        <v>3</v>
      </c>
      <c r="N314" s="29"/>
      <c r="O314" s="30"/>
      <c r="P314" s="28" t="str">
        <f>IF($CB$2=1,"勘 定 店 名","店　　名")</f>
        <v>店　　名</v>
      </c>
      <c r="Q314" s="29"/>
      <c r="R314" s="29"/>
      <c r="S314" s="29"/>
      <c r="T314" s="30"/>
      <c r="U314" s="28" t="s">
        <v>4</v>
      </c>
      <c r="V314" s="29"/>
      <c r="W314" s="29"/>
      <c r="X314" s="29"/>
      <c r="Y314" s="30"/>
      <c r="Z314" s="28" t="s">
        <v>5</v>
      </c>
      <c r="AA314" s="29"/>
      <c r="AB314" s="30"/>
      <c r="AD314" s="8"/>
      <c r="AE314" s="13"/>
      <c r="AF314" s="1" t="s">
        <v>6</v>
      </c>
      <c r="AJ314" s="31" t="str">
        <f>$AJ$4</f>
        <v>-</v>
      </c>
      <c r="AK314" s="31"/>
      <c r="AL314" s="31"/>
      <c r="AM314" s="31"/>
      <c r="AN314" s="31"/>
      <c r="AO314" s="31"/>
      <c r="AP314" s="32"/>
      <c r="AQ314" s="13"/>
      <c r="AR314" s="1" t="s">
        <v>7</v>
      </c>
      <c r="AV314" s="33" t="str">
        <f>$AV$4</f>
        <v>埼玉県秩父郡小鹿野町両神薄字中原里248-2</v>
      </c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4"/>
      <c r="DA314" s="6"/>
    </row>
    <row r="315" spans="1:105" ht="7.5" customHeight="1">
      <c r="M315" s="39" t="str">
        <f>IF($M$5="","",$M$5)</f>
        <v/>
      </c>
      <c r="N315" s="40"/>
      <c r="O315" s="56"/>
      <c r="P315" s="39" t="str">
        <f>IF($P$5="","",$P$5)</f>
        <v/>
      </c>
      <c r="Q315" s="40"/>
      <c r="R315" s="40"/>
      <c r="S315" s="40"/>
      <c r="T315" s="56"/>
      <c r="U315" s="39" t="str">
        <f>IF($U$5="","",$U$5)</f>
        <v/>
      </c>
      <c r="V315" s="40"/>
      <c r="W315" s="40"/>
      <c r="X315" s="40"/>
      <c r="Y315" s="56"/>
      <c r="Z315" s="39" t="str">
        <f>IF($Z$5="","",$Z$5)</f>
        <v/>
      </c>
      <c r="AA315" s="40"/>
      <c r="AB315" s="56"/>
      <c r="AD315" s="8"/>
      <c r="AE315" s="14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6"/>
      <c r="AQ315" s="14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7"/>
      <c r="DA315" s="6"/>
    </row>
    <row r="316" spans="1:105" ht="7.5" customHeight="1">
      <c r="M316" s="58"/>
      <c r="N316" s="59"/>
      <c r="O316" s="60"/>
      <c r="P316" s="58"/>
      <c r="Q316" s="59"/>
      <c r="R316" s="59"/>
      <c r="S316" s="59"/>
      <c r="T316" s="60"/>
      <c r="U316" s="58"/>
      <c r="V316" s="59"/>
      <c r="W316" s="59"/>
      <c r="X316" s="59"/>
      <c r="Y316" s="60"/>
      <c r="Z316" s="58"/>
      <c r="AA316" s="59"/>
      <c r="AB316" s="60"/>
      <c r="AD316" s="8"/>
      <c r="BL316" s="18"/>
      <c r="DA316" s="6"/>
    </row>
    <row r="317" spans="1:105" ht="7.5" customHeight="1">
      <c r="M317" s="58"/>
      <c r="N317" s="59"/>
      <c r="O317" s="60"/>
      <c r="P317" s="58"/>
      <c r="Q317" s="59"/>
      <c r="R317" s="59"/>
      <c r="S317" s="59"/>
      <c r="T317" s="60"/>
      <c r="U317" s="58"/>
      <c r="V317" s="59"/>
      <c r="W317" s="59"/>
      <c r="X317" s="59"/>
      <c r="Y317" s="60"/>
      <c r="Z317" s="58"/>
      <c r="AA317" s="59"/>
      <c r="AB317" s="60"/>
      <c r="AD317" s="8"/>
      <c r="BL317" s="18"/>
      <c r="DA317" s="6"/>
    </row>
    <row r="318" spans="1:105" ht="18">
      <c r="M318" s="58"/>
      <c r="N318" s="59"/>
      <c r="O318" s="60"/>
      <c r="P318" s="58"/>
      <c r="Q318" s="59"/>
      <c r="R318" s="59"/>
      <c r="S318" s="59"/>
      <c r="T318" s="60"/>
      <c r="U318" s="58"/>
      <c r="V318" s="59"/>
      <c r="W318" s="59"/>
      <c r="X318" s="59"/>
      <c r="Y318" s="60"/>
      <c r="Z318" s="58"/>
      <c r="AA318" s="59"/>
      <c r="AB318" s="60"/>
      <c r="AD318" s="8"/>
      <c r="BL318" s="18"/>
      <c r="DA318" s="6"/>
    </row>
    <row r="319" spans="1:105" ht="18">
      <c r="B319" s="61" t="str">
        <f>$B$9</f>
        <v>-</v>
      </c>
      <c r="C319" s="61"/>
      <c r="D319" s="61"/>
      <c r="E319" s="61"/>
      <c r="F319" s="61"/>
      <c r="G319" s="61"/>
      <c r="H319" s="61"/>
      <c r="I319" s="61"/>
      <c r="J319" s="61"/>
      <c r="M319" s="42"/>
      <c r="N319" s="43"/>
      <c r="O319" s="57"/>
      <c r="P319" s="42"/>
      <c r="Q319" s="43"/>
      <c r="R319" s="43"/>
      <c r="S319" s="43"/>
      <c r="T319" s="57"/>
      <c r="U319" s="42"/>
      <c r="V319" s="43"/>
      <c r="W319" s="43"/>
      <c r="X319" s="43"/>
      <c r="Y319" s="57"/>
      <c r="Z319" s="42"/>
      <c r="AA319" s="43"/>
      <c r="AB319" s="57"/>
      <c r="AD319" s="8"/>
      <c r="AE319" s="19" t="s">
        <v>76</v>
      </c>
      <c r="AF319" s="35"/>
      <c r="AG319" s="36"/>
      <c r="AH319" s="36"/>
      <c r="AI319" s="36"/>
      <c r="AJ319" s="36"/>
      <c r="AK319" s="36"/>
      <c r="AL319" s="36"/>
      <c r="AM319" s="36"/>
      <c r="AN319" s="36"/>
      <c r="AV319" s="19" t="s">
        <v>77</v>
      </c>
      <c r="AW319" s="35"/>
      <c r="AX319" s="36"/>
      <c r="AY319" s="36"/>
      <c r="AZ319" s="36"/>
      <c r="BA319" s="36"/>
      <c r="BB319" s="36"/>
      <c r="BC319" s="36"/>
      <c r="BD319" s="36"/>
      <c r="BE319" s="36"/>
      <c r="BL319" s="18"/>
      <c r="DA319" s="6"/>
    </row>
    <row r="320" spans="1:105" ht="14.25" customHeight="1">
      <c r="AD320" s="8"/>
      <c r="AE320" s="37" t="s">
        <v>16</v>
      </c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V320" s="37" t="s">
        <v>16</v>
      </c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18"/>
      <c r="DA320" s="6"/>
    </row>
    <row r="321" spans="1:105" ht="14.25" customHeight="1">
      <c r="A321" s="39" t="str">
        <f>$A$11</f>
        <v>CIF</v>
      </c>
      <c r="B321" s="40"/>
      <c r="C321" s="40"/>
      <c r="D321" s="41"/>
      <c r="E321" s="45" t="str">
        <f>IF($E$11="","",$E$11)</f>
        <v/>
      </c>
      <c r="F321" s="40"/>
      <c r="G321" s="40"/>
      <c r="H321" s="40"/>
      <c r="I321" s="40"/>
      <c r="J321" s="40"/>
      <c r="K321" s="40"/>
      <c r="L321" s="40"/>
      <c r="M321" s="41"/>
      <c r="N321" s="45" t="str">
        <f>$N$11</f>
        <v>勘定店番</v>
      </c>
      <c r="O321" s="40"/>
      <c r="P321" s="40"/>
      <c r="Q321" s="40"/>
      <c r="R321" s="40"/>
      <c r="S321" s="41"/>
      <c r="T321" s="47" t="str">
        <f>IF($T$11="","",$T$11)</f>
        <v/>
      </c>
      <c r="U321" s="48"/>
      <c r="V321" s="48"/>
      <c r="W321" s="48"/>
      <c r="X321" s="48"/>
      <c r="Y321" s="48"/>
      <c r="Z321" s="48"/>
      <c r="AA321" s="48"/>
      <c r="AB321" s="49"/>
      <c r="AD321" s="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18"/>
      <c r="DA321" s="6"/>
    </row>
    <row r="322" spans="1:105" ht="14.25" customHeight="1">
      <c r="A322" s="42"/>
      <c r="B322" s="43"/>
      <c r="C322" s="43"/>
      <c r="D322" s="44"/>
      <c r="E322" s="46"/>
      <c r="F322" s="43"/>
      <c r="G322" s="43"/>
      <c r="H322" s="43"/>
      <c r="I322" s="43"/>
      <c r="J322" s="43"/>
      <c r="K322" s="43"/>
      <c r="L322" s="43"/>
      <c r="M322" s="44"/>
      <c r="N322" s="53" t="str">
        <f>$N$12</f>
        <v>(勘定移管レス先のみ)</v>
      </c>
      <c r="O322" s="54"/>
      <c r="P322" s="54"/>
      <c r="Q322" s="54"/>
      <c r="R322" s="54"/>
      <c r="S322" s="55"/>
      <c r="T322" s="50"/>
      <c r="U322" s="51"/>
      <c r="V322" s="51"/>
      <c r="W322" s="51"/>
      <c r="X322" s="51"/>
      <c r="Y322" s="51"/>
      <c r="Z322" s="51"/>
      <c r="AA322" s="51"/>
      <c r="AB322" s="52"/>
      <c r="AD322" s="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18"/>
      <c r="DA322" s="6"/>
    </row>
    <row r="323" spans="1:105" ht="14.25" customHeight="1">
      <c r="A323" s="39" t="str">
        <f>$A$13</f>
        <v>債務者名</v>
      </c>
      <c r="B323" s="40"/>
      <c r="C323" s="40"/>
      <c r="D323" s="41"/>
      <c r="E323" s="45" t="str">
        <f>IF($E$13="","",$E$13)</f>
        <v/>
      </c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56"/>
      <c r="AD323" s="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18"/>
      <c r="DA323" s="6"/>
    </row>
    <row r="324" spans="1:105" ht="14.25" customHeight="1">
      <c r="A324" s="42"/>
      <c r="B324" s="43"/>
      <c r="C324" s="43"/>
      <c r="D324" s="44"/>
      <c r="E324" s="46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57"/>
      <c r="AD324" s="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18"/>
      <c r="DA324" s="6"/>
    </row>
    <row r="325" spans="1:105" ht="14.25" customHeight="1">
      <c r="A325" s="3"/>
      <c r="B325" s="4" t="s">
        <v>24</v>
      </c>
      <c r="C325" s="4"/>
      <c r="D325" s="4"/>
      <c r="E325" s="4"/>
      <c r="F325" s="4" t="s">
        <v>25</v>
      </c>
      <c r="G325" s="4"/>
      <c r="H325" s="4" t="s">
        <v>26</v>
      </c>
      <c r="I325" s="4"/>
      <c r="J325" s="4" t="s">
        <v>27</v>
      </c>
      <c r="K325" s="4"/>
      <c r="L325" s="4" t="s">
        <v>26</v>
      </c>
      <c r="M325" s="4" t="s">
        <v>28</v>
      </c>
      <c r="N325" s="4"/>
      <c r="O325" s="4"/>
      <c r="P325" s="4" t="s">
        <v>29</v>
      </c>
      <c r="Q325" s="20" t="s">
        <v>30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D325" s="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18"/>
      <c r="DA325" s="6"/>
    </row>
    <row r="326" spans="1:105" ht="14.25" customHeight="1">
      <c r="A326" s="8"/>
      <c r="AB326" s="18"/>
      <c r="AD326" s="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18"/>
      <c r="DA326" s="6"/>
    </row>
    <row r="327" spans="1:105" ht="14.25" customHeight="1">
      <c r="A327" s="8"/>
      <c r="B327" s="1" t="s">
        <v>33</v>
      </c>
      <c r="G327" s="1" t="s">
        <v>34</v>
      </c>
      <c r="AB327" s="18"/>
      <c r="AD327" s="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18"/>
      <c r="DA327" s="6"/>
    </row>
    <row r="328" spans="1:105" ht="14.25" customHeight="1">
      <c r="A328" s="8"/>
      <c r="G328" s="1" t="s">
        <v>36</v>
      </c>
      <c r="AB328" s="18"/>
      <c r="AD328" s="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18"/>
      <c r="DA328" s="6"/>
    </row>
    <row r="329" spans="1:105" ht="14.25" customHeight="1">
      <c r="A329" s="8"/>
      <c r="AB329" s="18"/>
      <c r="AD329" s="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18"/>
      <c r="DA329" s="6"/>
    </row>
    <row r="330" spans="1:105" ht="14.25" customHeight="1">
      <c r="A330" s="8"/>
      <c r="B330" s="37" t="s">
        <v>39</v>
      </c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18"/>
      <c r="AD330" s="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18"/>
      <c r="DA330" s="6"/>
    </row>
    <row r="331" spans="1:105" ht="14.25" customHeight="1">
      <c r="A331" s="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18"/>
      <c r="AD331" s="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18"/>
      <c r="DA331" s="6"/>
    </row>
    <row r="332" spans="1:105" ht="14.25" customHeight="1">
      <c r="A332" s="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18"/>
      <c r="AD332" s="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18"/>
      <c r="DA332" s="6"/>
    </row>
    <row r="333" spans="1:105" ht="14.25" customHeight="1">
      <c r="A333" s="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18"/>
      <c r="AD333" s="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18"/>
      <c r="DA333" s="6"/>
    </row>
    <row r="334" spans="1:105" ht="14.25" customHeight="1">
      <c r="A334" s="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18"/>
      <c r="AD334" s="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18"/>
      <c r="DA334" s="6"/>
    </row>
    <row r="335" spans="1:105" ht="14.25" customHeight="1">
      <c r="A335" s="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18"/>
      <c r="AD335" s="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18"/>
      <c r="DA335" s="6"/>
    </row>
    <row r="336" spans="1:105" ht="4.5" customHeight="1">
      <c r="A336" s="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18"/>
      <c r="AD336" s="8"/>
      <c r="BL336" s="18"/>
      <c r="DA336" s="6"/>
    </row>
    <row r="337" spans="1:105" ht="13.5" customHeight="1">
      <c r="A337" s="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18"/>
      <c r="AD337" s="8"/>
      <c r="AE337" s="19" t="s">
        <v>78</v>
      </c>
      <c r="AF337" s="35"/>
      <c r="AG337" s="36"/>
      <c r="AH337" s="36"/>
      <c r="AI337" s="36"/>
      <c r="AJ337" s="36"/>
      <c r="AK337" s="36"/>
      <c r="AL337" s="36"/>
      <c r="AM337" s="36"/>
      <c r="AN337" s="36"/>
      <c r="AV337" s="19" t="s">
        <v>79</v>
      </c>
      <c r="AW337" s="35"/>
      <c r="AX337" s="36"/>
      <c r="AY337" s="36"/>
      <c r="AZ337" s="36"/>
      <c r="BA337" s="36"/>
      <c r="BB337" s="36"/>
      <c r="BC337" s="36"/>
      <c r="BD337" s="36"/>
      <c r="BE337" s="36"/>
      <c r="BL337" s="18"/>
      <c r="DA337" s="6"/>
    </row>
    <row r="338" spans="1:105" ht="14.25" customHeight="1">
      <c r="A338" s="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18"/>
      <c r="AD338" s="8"/>
      <c r="AE338" s="37" t="s">
        <v>16</v>
      </c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V338" s="37" t="s">
        <v>16</v>
      </c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18"/>
    </row>
    <row r="339" spans="1:105" ht="14.25" customHeight="1">
      <c r="A339" s="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18"/>
      <c r="AD339" s="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18"/>
    </row>
    <row r="340" spans="1:105" ht="14.25" customHeight="1">
      <c r="A340" s="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18"/>
      <c r="AD340" s="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18"/>
    </row>
    <row r="341" spans="1:105" ht="14.25" customHeight="1">
      <c r="A341" s="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18"/>
      <c r="AD341" s="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18"/>
    </row>
    <row r="342" spans="1:105" ht="14.25" customHeight="1">
      <c r="A342" s="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18"/>
      <c r="AD342" s="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18"/>
    </row>
    <row r="343" spans="1:105" ht="14.25" customHeight="1">
      <c r="A343" s="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18"/>
      <c r="AD343" s="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18"/>
    </row>
    <row r="344" spans="1:105" ht="14.25" customHeight="1">
      <c r="A344" s="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18"/>
      <c r="AD344" s="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18"/>
    </row>
    <row r="345" spans="1:105" ht="14.25" customHeight="1">
      <c r="A345" s="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18"/>
      <c r="AD345" s="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18"/>
    </row>
    <row r="346" spans="1:105" ht="14.25" customHeight="1">
      <c r="A346" s="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18"/>
      <c r="AD346" s="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18"/>
    </row>
    <row r="347" spans="1:105" ht="14.25" customHeight="1">
      <c r="A347" s="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18"/>
      <c r="AD347" s="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18"/>
    </row>
    <row r="348" spans="1:105" ht="14.25" customHeight="1">
      <c r="A348" s="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18"/>
      <c r="AD348" s="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18"/>
    </row>
    <row r="349" spans="1:105" ht="14.25" customHeight="1">
      <c r="A349" s="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18"/>
      <c r="AD349" s="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18"/>
    </row>
    <row r="350" spans="1:105" ht="14.25" customHeight="1">
      <c r="A350" s="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18"/>
      <c r="AD350" s="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18"/>
    </row>
    <row r="351" spans="1:105" ht="14.25" customHeight="1">
      <c r="A351" s="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18"/>
      <c r="AD351" s="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18"/>
    </row>
    <row r="352" spans="1:105" ht="14.25" customHeight="1">
      <c r="A352" s="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18"/>
      <c r="AD352" s="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18"/>
    </row>
    <row r="353" spans="1:64" ht="14.25" customHeight="1">
      <c r="A353" s="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18"/>
      <c r="AD353" s="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18"/>
    </row>
    <row r="354" spans="1:64" ht="4.5" customHeight="1">
      <c r="A354" s="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18"/>
      <c r="AD354" s="8"/>
      <c r="BL354" s="18"/>
    </row>
    <row r="355" spans="1:64" ht="13.5" customHeight="1">
      <c r="A355" s="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18"/>
      <c r="AD355" s="8"/>
      <c r="AE355" s="19" t="s">
        <v>80</v>
      </c>
      <c r="AF355" s="35"/>
      <c r="AG355" s="36"/>
      <c r="AH355" s="36"/>
      <c r="AI355" s="36"/>
      <c r="AJ355" s="36"/>
      <c r="AK355" s="36"/>
      <c r="AL355" s="36"/>
      <c r="AM355" s="36"/>
      <c r="AN355" s="36"/>
      <c r="AV355" s="19" t="s">
        <v>81</v>
      </c>
      <c r="AW355" s="35"/>
      <c r="AX355" s="36"/>
      <c r="AY355" s="36"/>
      <c r="AZ355" s="36"/>
      <c r="BA355" s="36"/>
      <c r="BB355" s="36"/>
      <c r="BC355" s="36"/>
      <c r="BD355" s="36"/>
      <c r="BE355" s="36"/>
      <c r="BL355" s="18"/>
    </row>
    <row r="356" spans="1:64" ht="14.25" customHeight="1">
      <c r="A356" s="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18"/>
      <c r="AD356" s="8"/>
      <c r="AE356" s="37" t="s">
        <v>16</v>
      </c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V356" s="37" t="s">
        <v>16</v>
      </c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18"/>
    </row>
    <row r="357" spans="1:64" ht="14.25" customHeight="1">
      <c r="A357" s="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18"/>
      <c r="AD357" s="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18"/>
    </row>
    <row r="358" spans="1:64" ht="14.25" customHeight="1">
      <c r="A358" s="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18"/>
      <c r="AD358" s="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18"/>
    </row>
    <row r="359" spans="1:64" ht="14.25" customHeight="1">
      <c r="A359" s="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18"/>
      <c r="AD359" s="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18"/>
    </row>
    <row r="360" spans="1:64" ht="14.25" customHeight="1">
      <c r="A360" s="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18"/>
      <c r="AD360" s="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18"/>
    </row>
    <row r="361" spans="1:64" ht="14.25" customHeight="1">
      <c r="A361" s="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18"/>
      <c r="AD361" s="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18"/>
    </row>
    <row r="362" spans="1:64" ht="14.25" customHeight="1">
      <c r="A362" s="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18"/>
      <c r="AD362" s="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18"/>
    </row>
    <row r="363" spans="1:64" ht="14.25" customHeight="1">
      <c r="A363" s="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18"/>
      <c r="AD363" s="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18"/>
    </row>
    <row r="364" spans="1:64" ht="14.25" customHeight="1">
      <c r="A364" s="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18"/>
      <c r="AD364" s="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18"/>
    </row>
    <row r="365" spans="1:64" ht="14.25" customHeight="1">
      <c r="A365" s="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18"/>
      <c r="AD365" s="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18"/>
    </row>
    <row r="366" spans="1:64" ht="14.25" customHeight="1">
      <c r="A366" s="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18"/>
      <c r="AD366" s="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18"/>
    </row>
    <row r="367" spans="1:64" ht="14.25" customHeight="1">
      <c r="A367" s="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18"/>
      <c r="AD367" s="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18"/>
    </row>
    <row r="368" spans="1:64" ht="14.25" customHeight="1">
      <c r="A368" s="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18"/>
      <c r="AD368" s="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18"/>
    </row>
    <row r="369" spans="1:64" ht="14.25" customHeight="1">
      <c r="A369" s="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18"/>
      <c r="AD369" s="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18"/>
    </row>
    <row r="370" spans="1:64" ht="14.25" customHeight="1">
      <c r="A370" s="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18"/>
      <c r="AD370" s="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18"/>
    </row>
    <row r="371" spans="1:64" ht="14.25" customHeight="1">
      <c r="A371" s="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18"/>
      <c r="AD371" s="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18"/>
    </row>
    <row r="372" spans="1:64" ht="5.25" customHeight="1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3"/>
      <c r="AD372" s="21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3"/>
    </row>
  </sheetData>
  <mergeCells count="204">
    <mergeCell ref="AV356:BK371"/>
    <mergeCell ref="AW319:BE319"/>
    <mergeCell ref="AE320:AT335"/>
    <mergeCell ref="AV320:BK335"/>
    <mergeCell ref="A321:D322"/>
    <mergeCell ref="E321:M322"/>
    <mergeCell ref="N321:S321"/>
    <mergeCell ref="T321:AB322"/>
    <mergeCell ref="N322:S322"/>
    <mergeCell ref="A323:D324"/>
    <mergeCell ref="E323:AB324"/>
    <mergeCell ref="M315:O319"/>
    <mergeCell ref="P315:T319"/>
    <mergeCell ref="U315:Y319"/>
    <mergeCell ref="Z315:AB319"/>
    <mergeCell ref="B319:J319"/>
    <mergeCell ref="AF319:AN319"/>
    <mergeCell ref="B330:AA371"/>
    <mergeCell ref="AF337:AN337"/>
    <mergeCell ref="AW337:BE337"/>
    <mergeCell ref="AE338:AT353"/>
    <mergeCell ref="AV338:BK353"/>
    <mergeCell ref="AF355:AN355"/>
    <mergeCell ref="AW355:BE355"/>
    <mergeCell ref="AE356:AT371"/>
    <mergeCell ref="AV294:BK309"/>
    <mergeCell ref="M312:N312"/>
    <mergeCell ref="BB312:BF312"/>
    <mergeCell ref="BG312:BK312"/>
    <mergeCell ref="M314:O314"/>
    <mergeCell ref="P314:T314"/>
    <mergeCell ref="U314:Y314"/>
    <mergeCell ref="Z314:AB314"/>
    <mergeCell ref="AJ314:AP314"/>
    <mergeCell ref="AV314:BL314"/>
    <mergeCell ref="AW257:BE257"/>
    <mergeCell ref="AE258:AT273"/>
    <mergeCell ref="AV258:BK273"/>
    <mergeCell ref="A259:D260"/>
    <mergeCell ref="E259:M260"/>
    <mergeCell ref="N259:S259"/>
    <mergeCell ref="T259:AB260"/>
    <mergeCell ref="N260:S260"/>
    <mergeCell ref="A261:D262"/>
    <mergeCell ref="E261:AB262"/>
    <mergeCell ref="M253:O257"/>
    <mergeCell ref="P253:T257"/>
    <mergeCell ref="U253:Y257"/>
    <mergeCell ref="Z253:AB257"/>
    <mergeCell ref="B257:J257"/>
    <mergeCell ref="AF257:AN257"/>
    <mergeCell ref="B268:AA309"/>
    <mergeCell ref="AF275:AN275"/>
    <mergeCell ref="AW275:BE275"/>
    <mergeCell ref="AE276:AT291"/>
    <mergeCell ref="AV276:BK291"/>
    <mergeCell ref="AF293:AN293"/>
    <mergeCell ref="AW293:BE293"/>
    <mergeCell ref="AE294:AT309"/>
    <mergeCell ref="AV232:BK247"/>
    <mergeCell ref="M250:N250"/>
    <mergeCell ref="BB250:BF250"/>
    <mergeCell ref="BG250:BK250"/>
    <mergeCell ref="M252:O252"/>
    <mergeCell ref="P252:T252"/>
    <mergeCell ref="U252:Y252"/>
    <mergeCell ref="Z252:AB252"/>
    <mergeCell ref="AJ252:AP252"/>
    <mergeCell ref="AV252:BL252"/>
    <mergeCell ref="AW195:BE195"/>
    <mergeCell ref="AE196:AT211"/>
    <mergeCell ref="AV196:BK211"/>
    <mergeCell ref="A197:D198"/>
    <mergeCell ref="E197:M198"/>
    <mergeCell ref="N197:S197"/>
    <mergeCell ref="T197:AB198"/>
    <mergeCell ref="N198:S198"/>
    <mergeCell ref="A199:D200"/>
    <mergeCell ref="E199:AB200"/>
    <mergeCell ref="M191:O195"/>
    <mergeCell ref="P191:T195"/>
    <mergeCell ref="U191:Y195"/>
    <mergeCell ref="Z191:AB195"/>
    <mergeCell ref="B195:J195"/>
    <mergeCell ref="AF195:AN195"/>
    <mergeCell ref="B206:AA247"/>
    <mergeCell ref="AF213:AN213"/>
    <mergeCell ref="AW213:BE213"/>
    <mergeCell ref="AE214:AT229"/>
    <mergeCell ref="AV214:BK229"/>
    <mergeCell ref="AF231:AN231"/>
    <mergeCell ref="AW231:BE231"/>
    <mergeCell ref="AE232:AT247"/>
    <mergeCell ref="AV170:BK185"/>
    <mergeCell ref="M188:N188"/>
    <mergeCell ref="BB188:BF188"/>
    <mergeCell ref="BG188:BK188"/>
    <mergeCell ref="M190:O190"/>
    <mergeCell ref="P190:T190"/>
    <mergeCell ref="U190:Y190"/>
    <mergeCell ref="Z190:AB190"/>
    <mergeCell ref="AJ190:AP190"/>
    <mergeCell ref="AV190:BL190"/>
    <mergeCell ref="AW133:BE133"/>
    <mergeCell ref="AE134:AT149"/>
    <mergeCell ref="AV134:BK149"/>
    <mergeCell ref="A135:D136"/>
    <mergeCell ref="E135:M136"/>
    <mergeCell ref="N135:S135"/>
    <mergeCell ref="T135:AB136"/>
    <mergeCell ref="N136:S136"/>
    <mergeCell ref="A137:D138"/>
    <mergeCell ref="E137:AB138"/>
    <mergeCell ref="M129:O133"/>
    <mergeCell ref="P129:T133"/>
    <mergeCell ref="U129:Y133"/>
    <mergeCell ref="Z129:AB133"/>
    <mergeCell ref="B133:J133"/>
    <mergeCell ref="AF133:AN133"/>
    <mergeCell ref="B144:AA185"/>
    <mergeCell ref="AF151:AN151"/>
    <mergeCell ref="AW151:BE151"/>
    <mergeCell ref="AE152:AT167"/>
    <mergeCell ref="AV152:BK167"/>
    <mergeCell ref="AF169:AN169"/>
    <mergeCell ref="AW169:BE169"/>
    <mergeCell ref="AE170:AT185"/>
    <mergeCell ref="AV108:BK123"/>
    <mergeCell ref="M126:N126"/>
    <mergeCell ref="BB126:BF126"/>
    <mergeCell ref="BG126:BK126"/>
    <mergeCell ref="M128:O128"/>
    <mergeCell ref="P128:T128"/>
    <mergeCell ref="U128:Y128"/>
    <mergeCell ref="Z128:AB128"/>
    <mergeCell ref="AJ128:AP128"/>
    <mergeCell ref="AV128:BL128"/>
    <mergeCell ref="AW71:BE71"/>
    <mergeCell ref="AE72:AT87"/>
    <mergeCell ref="AV72:BK87"/>
    <mergeCell ref="A73:D74"/>
    <mergeCell ref="E73:M74"/>
    <mergeCell ref="N73:S73"/>
    <mergeCell ref="T73:AB74"/>
    <mergeCell ref="N74:S74"/>
    <mergeCell ref="A75:D76"/>
    <mergeCell ref="E75:AB76"/>
    <mergeCell ref="M67:O71"/>
    <mergeCell ref="P67:T71"/>
    <mergeCell ref="U67:Y71"/>
    <mergeCell ref="Z67:AB71"/>
    <mergeCell ref="B71:J71"/>
    <mergeCell ref="AF71:AN71"/>
    <mergeCell ref="B82:AA123"/>
    <mergeCell ref="AF89:AN89"/>
    <mergeCell ref="AW89:BE89"/>
    <mergeCell ref="AE90:AT105"/>
    <mergeCell ref="AV90:BK105"/>
    <mergeCell ref="AF107:AN107"/>
    <mergeCell ref="AW107:BE107"/>
    <mergeCell ref="AE108:AT123"/>
    <mergeCell ref="AV46:BK61"/>
    <mergeCell ref="M64:N64"/>
    <mergeCell ref="BB64:BF64"/>
    <mergeCell ref="BG64:BK64"/>
    <mergeCell ref="M66:O66"/>
    <mergeCell ref="P66:T66"/>
    <mergeCell ref="U66:Y66"/>
    <mergeCell ref="Z66:AB66"/>
    <mergeCell ref="AJ66:AP66"/>
    <mergeCell ref="AV66:BL66"/>
    <mergeCell ref="AW9:BE9"/>
    <mergeCell ref="AE10:AT25"/>
    <mergeCell ref="AV10:BK25"/>
    <mergeCell ref="A11:D12"/>
    <mergeCell ref="E11:M12"/>
    <mergeCell ref="N11:S11"/>
    <mergeCell ref="T11:AB12"/>
    <mergeCell ref="N12:S12"/>
    <mergeCell ref="A13:D14"/>
    <mergeCell ref="E13:AB14"/>
    <mergeCell ref="M5:O9"/>
    <mergeCell ref="P5:T9"/>
    <mergeCell ref="U5:Y9"/>
    <mergeCell ref="Z5:AB9"/>
    <mergeCell ref="B9:J9"/>
    <mergeCell ref="AF9:AN9"/>
    <mergeCell ref="B20:AA61"/>
    <mergeCell ref="AF27:AN27"/>
    <mergeCell ref="AW27:BE27"/>
    <mergeCell ref="AE28:AT43"/>
    <mergeCell ref="AV28:BK43"/>
    <mergeCell ref="AF45:AN45"/>
    <mergeCell ref="AW45:BE45"/>
    <mergeCell ref="AE46:AT61"/>
    <mergeCell ref="M2:N2"/>
    <mergeCell ref="BB2:BF2"/>
    <mergeCell ref="BG2:BK2"/>
    <mergeCell ref="M4:O4"/>
    <mergeCell ref="P4:T4"/>
    <mergeCell ref="U4:Y4"/>
    <mergeCell ref="Z4:AB4"/>
    <mergeCell ref="AJ4:AP4"/>
    <mergeCell ref="AV4:BL4"/>
  </mergeCells>
  <phoneticPr fontId="2"/>
  <dataValidations count="1">
    <dataValidation type="list" allowBlank="1" showInputMessage="1" showErrorMessage="1" sqref="AF9:AN9 AW9:BE9 AF27:AN27 AW27:BE27 AF45:AN45 AW45:BE45 AF107:AN107 AF71:AN71 AW71:BE71 AF89:AN89 AW89:BE89 AW107:BE107 AF133:AN133 AW133:BE133 AF151:AN151 AW151:BE151 AF169:AN169 AW169:BE169 AF195:AN195 AW195:BE195 AF213:AN213 AW213:BE213 AF231:AN231 AW231:BE231 AF257:AN257 AW257:BE257 AF275:AN275 AW275:BE275 AF293:AN293 AW293:BE293 AF319:AN319 AW319:BE319 AF337:AN337 AW337:BE337 AF355:AN355 AW355:BE355" xr:uid="{FADA6BD7-15B2-4336-AC28-5F143D48D1EE}">
      <formula1>$DA$2:$DA$27</formula1>
    </dataValidation>
  </dataValidations>
  <printOptions horizontalCentered="1" verticalCentered="1"/>
  <pageMargins left="0.51181102362204722" right="0.31496062992125984" top="0.51181102362204722" bottom="0.31496062992125984" header="0.31496062992125984" footer="0.31496062992125984"/>
  <pageSetup paperSize="12" scale="8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2033-EF09-4F77-8E01-46512E45B484}">
  <dimension ref="A1:DA372"/>
  <sheetViews>
    <sheetView zoomScale="80" zoomScaleNormal="80" workbookViewId="0">
      <selection activeCell="AE90" sqref="AE90:AT105"/>
    </sheetView>
  </sheetViews>
  <sheetFormatPr baseColWidth="10" defaultColWidth="3.5" defaultRowHeight="14"/>
  <cols>
    <col min="1" max="1" width="1.83203125" style="1" customWidth="1"/>
    <col min="2" max="28" width="3" style="1" customWidth="1"/>
    <col min="29" max="30" width="1.83203125" style="1" customWidth="1"/>
    <col min="31" max="63" width="3" style="1" customWidth="1"/>
    <col min="64" max="64" width="1.83203125" style="1" customWidth="1"/>
    <col min="65" max="16384" width="3.5" style="1"/>
  </cols>
  <sheetData>
    <row r="1" spans="1:105" ht="7.5" customHeight="1"/>
    <row r="2" spans="1:105" ht="22">
      <c r="A2" s="2" t="s">
        <v>0</v>
      </c>
      <c r="M2" s="24">
        <v>2</v>
      </c>
      <c r="N2" s="24"/>
      <c r="AD2" s="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25"/>
      <c r="BC2" s="26"/>
      <c r="BD2" s="26"/>
      <c r="BE2" s="26"/>
      <c r="BF2" s="27"/>
      <c r="BG2" s="26">
        <v>3159205</v>
      </c>
      <c r="BH2" s="26"/>
      <c r="BI2" s="26"/>
      <c r="BJ2" s="26"/>
      <c r="BK2" s="26"/>
      <c r="BL2" s="5"/>
      <c r="CA2" s="1" t="s">
        <v>83</v>
      </c>
      <c r="CB2" s="1" t="s">
        <v>84</v>
      </c>
      <c r="DA2" s="6" t="s">
        <v>1</v>
      </c>
    </row>
    <row r="3" spans="1:105" ht="7.5" customHeight="1">
      <c r="A3" s="7"/>
      <c r="AD3" s="8"/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2"/>
      <c r="DA3" s="6" t="s">
        <v>2</v>
      </c>
    </row>
    <row r="4" spans="1:105" ht="18">
      <c r="M4" s="28" t="s">
        <v>3</v>
      </c>
      <c r="N4" s="29"/>
      <c r="O4" s="30"/>
      <c r="P4" s="28" t="str">
        <f>IF($CB$2=1,"勘 定 店 名","店　　名")</f>
        <v>店　　名</v>
      </c>
      <c r="Q4" s="29"/>
      <c r="R4" s="29"/>
      <c r="S4" s="29"/>
      <c r="T4" s="30"/>
      <c r="U4" s="28" t="s">
        <v>4</v>
      </c>
      <c r="V4" s="29"/>
      <c r="W4" s="29"/>
      <c r="X4" s="29"/>
      <c r="Y4" s="30"/>
      <c r="Z4" s="28" t="s">
        <v>5</v>
      </c>
      <c r="AA4" s="29"/>
      <c r="AB4" s="30"/>
      <c r="AD4" s="8"/>
      <c r="AE4" s="13"/>
      <c r="AF4" s="1" t="s">
        <v>6</v>
      </c>
      <c r="AJ4" s="31">
        <v>45860</v>
      </c>
      <c r="AK4" s="31"/>
      <c r="AL4" s="31"/>
      <c r="AM4" s="31"/>
      <c r="AN4" s="31"/>
      <c r="AO4" s="31"/>
      <c r="AP4" s="32"/>
      <c r="AQ4" s="13"/>
      <c r="AR4" s="1" t="s">
        <v>7</v>
      </c>
      <c r="AV4" s="33" t="s">
        <v>86</v>
      </c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4"/>
      <c r="DA4" s="6" t="s">
        <v>8</v>
      </c>
    </row>
    <row r="5" spans="1:105" ht="7.5" customHeight="1">
      <c r="M5" s="39"/>
      <c r="N5" s="40"/>
      <c r="O5" s="56"/>
      <c r="P5" s="39"/>
      <c r="Q5" s="40"/>
      <c r="R5" s="40"/>
      <c r="S5" s="40"/>
      <c r="T5" s="56"/>
      <c r="U5" s="39"/>
      <c r="V5" s="40"/>
      <c r="W5" s="40"/>
      <c r="X5" s="40"/>
      <c r="Y5" s="56"/>
      <c r="Z5" s="39"/>
      <c r="AA5" s="40"/>
      <c r="AB5" s="56"/>
      <c r="AD5" s="8"/>
      <c r="AE5" s="14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6"/>
      <c r="AQ5" s="14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7"/>
      <c r="DA5" s="6" t="s">
        <v>9</v>
      </c>
    </row>
    <row r="6" spans="1:105" ht="7.5" customHeight="1">
      <c r="M6" s="58"/>
      <c r="N6" s="59"/>
      <c r="O6" s="60"/>
      <c r="P6" s="58"/>
      <c r="Q6" s="59"/>
      <c r="R6" s="59"/>
      <c r="S6" s="59"/>
      <c r="T6" s="60"/>
      <c r="U6" s="58"/>
      <c r="V6" s="59"/>
      <c r="W6" s="59"/>
      <c r="X6" s="59"/>
      <c r="Y6" s="60"/>
      <c r="Z6" s="58"/>
      <c r="AA6" s="59"/>
      <c r="AB6" s="60"/>
      <c r="AD6" s="8"/>
      <c r="BL6" s="18"/>
      <c r="DA6" s="6" t="s">
        <v>10</v>
      </c>
    </row>
    <row r="7" spans="1:105" ht="7.5" customHeight="1">
      <c r="M7" s="58"/>
      <c r="N7" s="59"/>
      <c r="O7" s="60"/>
      <c r="P7" s="58"/>
      <c r="Q7" s="59"/>
      <c r="R7" s="59"/>
      <c r="S7" s="59"/>
      <c r="T7" s="60"/>
      <c r="U7" s="58"/>
      <c r="V7" s="59"/>
      <c r="W7" s="59"/>
      <c r="X7" s="59"/>
      <c r="Y7" s="60"/>
      <c r="Z7" s="58"/>
      <c r="AA7" s="59"/>
      <c r="AB7" s="60"/>
      <c r="AD7" s="8"/>
      <c r="BL7" s="18"/>
      <c r="DA7" s="6" t="s">
        <v>11</v>
      </c>
    </row>
    <row r="8" spans="1:105" ht="18">
      <c r="M8" s="58"/>
      <c r="N8" s="59"/>
      <c r="O8" s="60"/>
      <c r="P8" s="58"/>
      <c r="Q8" s="59"/>
      <c r="R8" s="59"/>
      <c r="S8" s="59"/>
      <c r="T8" s="60"/>
      <c r="U8" s="58"/>
      <c r="V8" s="59"/>
      <c r="W8" s="59"/>
      <c r="X8" s="59"/>
      <c r="Y8" s="60"/>
      <c r="Z8" s="58"/>
      <c r="AA8" s="59"/>
      <c r="AB8" s="60"/>
      <c r="AD8" s="8"/>
      <c r="BL8" s="18"/>
      <c r="DA8" s="6" t="s">
        <v>12</v>
      </c>
    </row>
    <row r="9" spans="1:105" ht="18">
      <c r="B9" s="61">
        <v>45860</v>
      </c>
      <c r="C9" s="61"/>
      <c r="D9" s="61"/>
      <c r="E9" s="61"/>
      <c r="F9" s="61"/>
      <c r="G9" s="61"/>
      <c r="H9" s="61"/>
      <c r="I9" s="61"/>
      <c r="J9" s="61"/>
      <c r="M9" s="42"/>
      <c r="N9" s="43"/>
      <c r="O9" s="57"/>
      <c r="P9" s="42"/>
      <c r="Q9" s="43"/>
      <c r="R9" s="43"/>
      <c r="S9" s="43"/>
      <c r="T9" s="57"/>
      <c r="U9" s="42"/>
      <c r="V9" s="43"/>
      <c r="W9" s="43"/>
      <c r="X9" s="43"/>
      <c r="Y9" s="57"/>
      <c r="Z9" s="42"/>
      <c r="AA9" s="43"/>
      <c r="AB9" s="57"/>
      <c r="AD9" s="8"/>
      <c r="AE9" s="19" t="s">
        <v>13</v>
      </c>
      <c r="AF9" s="35" t="s">
        <v>10</v>
      </c>
      <c r="AG9" s="36"/>
      <c r="AH9" s="36"/>
      <c r="AI9" s="36"/>
      <c r="AJ9" s="36"/>
      <c r="AK9" s="36"/>
      <c r="AL9" s="36"/>
      <c r="AM9" s="36"/>
      <c r="AN9" s="36"/>
      <c r="AV9" s="19" t="s">
        <v>14</v>
      </c>
      <c r="AW9" s="35" t="s">
        <v>1</v>
      </c>
      <c r="AX9" s="36"/>
      <c r="AY9" s="36"/>
      <c r="AZ9" s="36"/>
      <c r="BA9" s="36"/>
      <c r="BB9" s="36"/>
      <c r="BC9" s="36"/>
      <c r="BD9" s="36"/>
      <c r="BE9" s="36"/>
      <c r="BL9" s="18"/>
      <c r="DA9" s="6" t="s">
        <v>15</v>
      </c>
    </row>
    <row r="10" spans="1:105" ht="14.25" customHeight="1">
      <c r="AD10" s="8"/>
      <c r="AE10" s="37" t="s">
        <v>16</v>
      </c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V10" s="37" t="s">
        <v>16</v>
      </c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18"/>
      <c r="DA10" s="6" t="s">
        <v>17</v>
      </c>
    </row>
    <row r="11" spans="1:105" ht="14.25" customHeight="1">
      <c r="A11" s="39" t="s">
        <v>18</v>
      </c>
      <c r="B11" s="40"/>
      <c r="C11" s="40"/>
      <c r="D11" s="41"/>
      <c r="E11" s="45"/>
      <c r="F11" s="40"/>
      <c r="G11" s="40"/>
      <c r="H11" s="40"/>
      <c r="I11" s="40"/>
      <c r="J11" s="40"/>
      <c r="K11" s="40"/>
      <c r="L11" s="40"/>
      <c r="M11" s="41"/>
      <c r="N11" s="45" t="str">
        <f>IF($CB$2=1,"","勘定店番")</f>
        <v>勘定店番</v>
      </c>
      <c r="O11" s="40"/>
      <c r="P11" s="40"/>
      <c r="Q11" s="40"/>
      <c r="R11" s="40"/>
      <c r="S11" s="41"/>
      <c r="T11" s="47"/>
      <c r="U11" s="48"/>
      <c r="V11" s="48"/>
      <c r="W11" s="48"/>
      <c r="X11" s="48"/>
      <c r="Y11" s="48"/>
      <c r="Z11" s="48"/>
      <c r="AA11" s="48"/>
      <c r="AB11" s="49"/>
      <c r="AD11" s="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18"/>
      <c r="DA11" s="6" t="s">
        <v>19</v>
      </c>
    </row>
    <row r="12" spans="1:105" ht="14.25" customHeight="1">
      <c r="A12" s="42"/>
      <c r="B12" s="43"/>
      <c r="C12" s="43"/>
      <c r="D12" s="44"/>
      <c r="E12" s="46"/>
      <c r="F12" s="43"/>
      <c r="G12" s="43"/>
      <c r="H12" s="43"/>
      <c r="I12" s="43"/>
      <c r="J12" s="43"/>
      <c r="K12" s="43"/>
      <c r="L12" s="43"/>
      <c r="M12" s="44"/>
      <c r="N12" s="53" t="str">
        <f>IF($CB$2=1,"","(勘定移管レス先のみ)")</f>
        <v>(勘定移管レス先のみ)</v>
      </c>
      <c r="O12" s="54"/>
      <c r="P12" s="54"/>
      <c r="Q12" s="54"/>
      <c r="R12" s="54"/>
      <c r="S12" s="55"/>
      <c r="T12" s="50"/>
      <c r="U12" s="51"/>
      <c r="V12" s="51"/>
      <c r="W12" s="51"/>
      <c r="X12" s="51"/>
      <c r="Y12" s="51"/>
      <c r="Z12" s="51"/>
      <c r="AA12" s="51"/>
      <c r="AB12" s="52"/>
      <c r="AD12" s="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18"/>
      <c r="DA12" s="6" t="s">
        <v>20</v>
      </c>
    </row>
    <row r="13" spans="1:105" ht="14.25" customHeight="1">
      <c r="A13" s="39" t="s">
        <v>21</v>
      </c>
      <c r="B13" s="40"/>
      <c r="C13" s="40"/>
      <c r="D13" s="41"/>
      <c r="E13" s="45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56"/>
      <c r="AD13" s="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18"/>
      <c r="DA13" s="6" t="s">
        <v>22</v>
      </c>
    </row>
    <row r="14" spans="1:105" ht="14.25" customHeight="1">
      <c r="A14" s="42"/>
      <c r="B14" s="43"/>
      <c r="C14" s="43"/>
      <c r="D14" s="44"/>
      <c r="E14" s="46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57"/>
      <c r="AD14" s="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18"/>
      <c r="DA14" s="6" t="s">
        <v>23</v>
      </c>
    </row>
    <row r="15" spans="1:105" ht="14.25" customHeight="1">
      <c r="A15" s="3"/>
      <c r="B15" s="4" t="s">
        <v>24</v>
      </c>
      <c r="C15" s="4"/>
      <c r="D15" s="4"/>
      <c r="E15" s="4"/>
      <c r="F15" s="4" t="s">
        <v>25</v>
      </c>
      <c r="G15" s="4"/>
      <c r="H15" s="4" t="s">
        <v>26</v>
      </c>
      <c r="I15" s="4"/>
      <c r="J15" s="4" t="s">
        <v>27</v>
      </c>
      <c r="K15" s="4"/>
      <c r="L15" s="4" t="s">
        <v>26</v>
      </c>
      <c r="M15" s="4" t="s">
        <v>28</v>
      </c>
      <c r="N15" s="4"/>
      <c r="O15" s="4"/>
      <c r="P15" s="4" t="s">
        <v>29</v>
      </c>
      <c r="Q15" s="20" t="s">
        <v>30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D15" s="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18"/>
      <c r="DA15" s="6" t="s">
        <v>31</v>
      </c>
    </row>
    <row r="16" spans="1:105" ht="14.25" customHeight="1">
      <c r="A16" s="8"/>
      <c r="AB16" s="18"/>
      <c r="AD16" s="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18"/>
      <c r="DA16" s="6" t="s">
        <v>32</v>
      </c>
    </row>
    <row r="17" spans="1:105" ht="14.25" customHeight="1">
      <c r="A17" s="8"/>
      <c r="B17" s="1" t="s">
        <v>33</v>
      </c>
      <c r="G17" s="1" t="s">
        <v>34</v>
      </c>
      <c r="AB17" s="18"/>
      <c r="AD17" s="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18"/>
      <c r="DA17" s="6" t="s">
        <v>35</v>
      </c>
    </row>
    <row r="18" spans="1:105" ht="14.25" customHeight="1">
      <c r="A18" s="8"/>
      <c r="G18" s="1" t="s">
        <v>36</v>
      </c>
      <c r="AB18" s="18"/>
      <c r="AD18" s="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18"/>
      <c r="DA18" s="6" t="s">
        <v>37</v>
      </c>
    </row>
    <row r="19" spans="1:105" ht="14.25" customHeight="1">
      <c r="A19" s="8"/>
      <c r="AB19" s="18"/>
      <c r="AD19" s="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18"/>
      <c r="DA19" s="6" t="s">
        <v>38</v>
      </c>
    </row>
    <row r="20" spans="1:105" ht="14.25" customHeight="1">
      <c r="A20" s="8"/>
      <c r="B20" s="37" t="s">
        <v>39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18"/>
      <c r="AD20" s="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18"/>
      <c r="DA20" s="6" t="s">
        <v>40</v>
      </c>
    </row>
    <row r="21" spans="1:105" ht="14.25" customHeight="1">
      <c r="A21" s="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18"/>
      <c r="AD21" s="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18"/>
      <c r="DA21" s="6" t="s">
        <v>41</v>
      </c>
    </row>
    <row r="22" spans="1:105" ht="14.25" customHeight="1">
      <c r="A22" s="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18"/>
      <c r="AD22" s="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18"/>
      <c r="DA22" s="6" t="s">
        <v>42</v>
      </c>
    </row>
    <row r="23" spans="1:105" ht="14.25" customHeight="1">
      <c r="A23" s="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18"/>
      <c r="AD23" s="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18"/>
      <c r="DA23" s="6" t="s">
        <v>43</v>
      </c>
    </row>
    <row r="24" spans="1:105" ht="14.25" customHeight="1">
      <c r="A24" s="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18"/>
      <c r="AD24" s="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18"/>
      <c r="DA24" s="6" t="s">
        <v>44</v>
      </c>
    </row>
    <row r="25" spans="1:105" ht="14.25" customHeight="1">
      <c r="A25" s="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18"/>
      <c r="AD25" s="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18"/>
      <c r="DA25" s="6" t="s">
        <v>45</v>
      </c>
    </row>
    <row r="26" spans="1:105" ht="4.5" customHeight="1">
      <c r="A26" s="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18"/>
      <c r="AD26" s="8"/>
      <c r="BL26" s="18"/>
      <c r="DA26" s="6" t="s">
        <v>46</v>
      </c>
    </row>
    <row r="27" spans="1:105" ht="13.5" customHeight="1">
      <c r="A27" s="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18"/>
      <c r="AD27" s="8"/>
      <c r="AE27" s="19" t="s">
        <v>47</v>
      </c>
      <c r="AF27" s="35" t="s">
        <v>1</v>
      </c>
      <c r="AG27" s="36"/>
      <c r="AH27" s="36"/>
      <c r="AI27" s="36"/>
      <c r="AJ27" s="36"/>
      <c r="AK27" s="36"/>
      <c r="AL27" s="36"/>
      <c r="AM27" s="36"/>
      <c r="AN27" s="36"/>
      <c r="AV27" s="19" t="s">
        <v>48</v>
      </c>
      <c r="AW27" s="35" t="s">
        <v>1</v>
      </c>
      <c r="AX27" s="36"/>
      <c r="AY27" s="36"/>
      <c r="AZ27" s="36"/>
      <c r="BA27" s="36"/>
      <c r="BB27" s="36"/>
      <c r="BC27" s="36"/>
      <c r="BD27" s="36"/>
      <c r="BE27" s="36"/>
      <c r="BL27" s="18"/>
      <c r="DA27" s="6" t="s">
        <v>49</v>
      </c>
    </row>
    <row r="28" spans="1:105" ht="14.25" customHeight="1">
      <c r="A28" s="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18"/>
      <c r="AD28" s="8"/>
      <c r="AE28" s="37" t="s">
        <v>16</v>
      </c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V28" s="37" t="s">
        <v>16</v>
      </c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18"/>
    </row>
    <row r="29" spans="1:105" ht="14.25" customHeight="1">
      <c r="A29" s="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18"/>
      <c r="AD29" s="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18"/>
    </row>
    <row r="30" spans="1:105" ht="14.25" customHeight="1">
      <c r="A30" s="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18"/>
      <c r="AD30" s="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18"/>
    </row>
    <row r="31" spans="1:105" ht="14.25" customHeight="1">
      <c r="A31" s="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18"/>
      <c r="AD31" s="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18"/>
    </row>
    <row r="32" spans="1:105" ht="14.25" customHeight="1">
      <c r="A32" s="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18"/>
      <c r="AD32" s="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18"/>
    </row>
    <row r="33" spans="1:64" ht="14.25" customHeight="1">
      <c r="A33" s="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18"/>
      <c r="AD33" s="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18"/>
    </row>
    <row r="34" spans="1:64" ht="14.25" customHeight="1">
      <c r="A34" s="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18"/>
      <c r="AD34" s="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18"/>
    </row>
    <row r="35" spans="1:64" ht="14.25" customHeight="1">
      <c r="A35" s="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18"/>
      <c r="AD35" s="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18"/>
    </row>
    <row r="36" spans="1:64" ht="14.25" customHeight="1">
      <c r="A36" s="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18"/>
      <c r="AD36" s="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8"/>
    </row>
    <row r="37" spans="1:64" ht="14.25" customHeight="1">
      <c r="A37" s="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18"/>
      <c r="AD37" s="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8"/>
    </row>
    <row r="38" spans="1:64" ht="14.25" customHeight="1">
      <c r="A38" s="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18"/>
      <c r="AD38" s="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8"/>
    </row>
    <row r="39" spans="1:64" ht="14.25" customHeight="1">
      <c r="A39" s="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18"/>
      <c r="AD39" s="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8"/>
    </row>
    <row r="40" spans="1:64" ht="14.25" customHeight="1">
      <c r="A40" s="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18"/>
      <c r="AD40" s="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8"/>
    </row>
    <row r="41" spans="1:64" ht="14.25" customHeight="1">
      <c r="A41" s="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18"/>
      <c r="AD41" s="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8"/>
    </row>
    <row r="42" spans="1:64" ht="14.25" customHeight="1">
      <c r="A42" s="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18"/>
      <c r="AD42" s="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8"/>
    </row>
    <row r="43" spans="1:64" ht="14.25" customHeight="1">
      <c r="A43" s="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18"/>
      <c r="AD43" s="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8"/>
    </row>
    <row r="44" spans="1:64" ht="4.5" customHeight="1">
      <c r="A44" s="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18"/>
      <c r="AD44" s="8"/>
      <c r="BL44" s="18"/>
    </row>
    <row r="45" spans="1:64" ht="13.5" customHeight="1">
      <c r="A45" s="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18"/>
      <c r="AD45" s="8"/>
      <c r="AE45" s="19" t="s">
        <v>50</v>
      </c>
      <c r="AF45" s="35" t="s">
        <v>1</v>
      </c>
      <c r="AG45" s="36"/>
      <c r="AH45" s="36"/>
      <c r="AI45" s="36"/>
      <c r="AJ45" s="36"/>
      <c r="AK45" s="36"/>
      <c r="AL45" s="36"/>
      <c r="AM45" s="36"/>
      <c r="AN45" s="36"/>
      <c r="AV45" s="19" t="s">
        <v>51</v>
      </c>
      <c r="AW45" s="35" t="s">
        <v>1</v>
      </c>
      <c r="AX45" s="36"/>
      <c r="AY45" s="36"/>
      <c r="AZ45" s="36"/>
      <c r="BA45" s="36"/>
      <c r="BB45" s="36"/>
      <c r="BC45" s="36"/>
      <c r="BD45" s="36"/>
      <c r="BE45" s="36"/>
      <c r="BL45" s="18"/>
    </row>
    <row r="46" spans="1:64" ht="14.25" customHeight="1">
      <c r="A46" s="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18"/>
      <c r="AD46" s="8"/>
      <c r="AE46" s="37" t="s">
        <v>16</v>
      </c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V46" s="37" t="s">
        <v>16</v>
      </c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8"/>
    </row>
    <row r="47" spans="1:64" ht="14.25" customHeight="1">
      <c r="A47" s="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18"/>
      <c r="AD47" s="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18"/>
    </row>
    <row r="48" spans="1:64" ht="14.25" customHeight="1">
      <c r="A48" s="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18"/>
      <c r="AD48" s="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18"/>
    </row>
    <row r="49" spans="1:105" ht="14.25" customHeight="1">
      <c r="A49" s="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18"/>
      <c r="AD49" s="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18"/>
    </row>
    <row r="50" spans="1:105" ht="14.25" customHeight="1">
      <c r="A50" s="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18"/>
      <c r="AD50" s="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18"/>
    </row>
    <row r="51" spans="1:105" ht="14.25" customHeight="1">
      <c r="A51" s="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18"/>
      <c r="AD51" s="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18"/>
    </row>
    <row r="52" spans="1:105" ht="14.25" customHeight="1">
      <c r="A52" s="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18"/>
      <c r="AD52" s="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18"/>
    </row>
    <row r="53" spans="1:105" ht="14.25" customHeight="1">
      <c r="A53" s="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18"/>
      <c r="AD53" s="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18"/>
    </row>
    <row r="54" spans="1:105" ht="14.25" customHeight="1">
      <c r="A54" s="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18"/>
      <c r="AD54" s="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18"/>
    </row>
    <row r="55" spans="1:105" ht="14.25" customHeight="1">
      <c r="A55" s="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18"/>
      <c r="AD55" s="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18"/>
    </row>
    <row r="56" spans="1:105" ht="14.25" customHeight="1">
      <c r="A56" s="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18"/>
      <c r="AD56" s="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18"/>
    </row>
    <row r="57" spans="1:105" ht="14.25" customHeight="1">
      <c r="A57" s="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18"/>
      <c r="AD57" s="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18"/>
    </row>
    <row r="58" spans="1:105" ht="14.25" customHeight="1">
      <c r="A58" s="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18"/>
      <c r="AD58" s="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18"/>
    </row>
    <row r="59" spans="1:105" ht="14.25" customHeight="1">
      <c r="A59" s="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18"/>
      <c r="AD59" s="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18"/>
    </row>
    <row r="60" spans="1:105" ht="14.25" customHeight="1">
      <c r="A60" s="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18"/>
      <c r="AD60" s="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18"/>
    </row>
    <row r="61" spans="1:105" ht="14.25" customHeight="1">
      <c r="A61" s="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18"/>
      <c r="AD61" s="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18"/>
    </row>
    <row r="62" spans="1:105" ht="5.25" customHeight="1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3"/>
      <c r="AD62" s="21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3"/>
    </row>
    <row r="63" spans="1:105" ht="7.5" customHeight="1"/>
    <row r="64" spans="1:105" ht="22">
      <c r="A64" s="2" t="s">
        <v>0</v>
      </c>
      <c r="M64" s="62">
        <f>$M$2</f>
        <v>2</v>
      </c>
      <c r="N64" s="62"/>
      <c r="AD64" s="3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 t="str">
        <f>IF($BB$2="","",$BB$2)</f>
        <v/>
      </c>
      <c r="BC64" s="26"/>
      <c r="BD64" s="26"/>
      <c r="BE64" s="26"/>
      <c r="BF64" s="27"/>
      <c r="BG64" s="26">
        <f>$BG$2</f>
        <v>3159205</v>
      </c>
      <c r="BH64" s="26"/>
      <c r="BI64" s="26"/>
      <c r="BJ64" s="26"/>
      <c r="BK64" s="26"/>
      <c r="BL64" s="5"/>
      <c r="DA64" s="6"/>
    </row>
    <row r="65" spans="1:105" ht="7.5" customHeight="1">
      <c r="A65" s="7"/>
      <c r="AD65" s="8"/>
      <c r="AE65" s="9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1"/>
      <c r="AQ65" s="9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2"/>
      <c r="DA65" s="6"/>
    </row>
    <row r="66" spans="1:105" ht="18">
      <c r="M66" s="28" t="s">
        <v>3</v>
      </c>
      <c r="N66" s="29"/>
      <c r="O66" s="30"/>
      <c r="P66" s="28" t="str">
        <f>IF($CB$2=1,"勘 定 店 名","店　　名")</f>
        <v>店　　名</v>
      </c>
      <c r="Q66" s="29"/>
      <c r="R66" s="29"/>
      <c r="S66" s="29"/>
      <c r="T66" s="30"/>
      <c r="U66" s="28" t="s">
        <v>4</v>
      </c>
      <c r="V66" s="29"/>
      <c r="W66" s="29"/>
      <c r="X66" s="29"/>
      <c r="Y66" s="30"/>
      <c r="Z66" s="28" t="s">
        <v>5</v>
      </c>
      <c r="AA66" s="29"/>
      <c r="AB66" s="30"/>
      <c r="AD66" s="8"/>
      <c r="AE66" s="13"/>
      <c r="AF66" s="1" t="s">
        <v>6</v>
      </c>
      <c r="AJ66" s="31">
        <f>$AJ$4</f>
        <v>45860</v>
      </c>
      <c r="AK66" s="31"/>
      <c r="AL66" s="31"/>
      <c r="AM66" s="31"/>
      <c r="AN66" s="31"/>
      <c r="AO66" s="31"/>
      <c r="AP66" s="32"/>
      <c r="AQ66" s="13"/>
      <c r="AR66" s="1" t="s">
        <v>7</v>
      </c>
      <c r="AV66" s="33" t="str">
        <f>$AV$4</f>
        <v>埼玉県秩父郡小鹿野町両神薄字中原里248-2</v>
      </c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4"/>
      <c r="DA66" s="6"/>
    </row>
    <row r="67" spans="1:105" ht="7.5" customHeight="1">
      <c r="M67" s="39" t="str">
        <f>IF($M$5="","",$M$5)</f>
        <v/>
      </c>
      <c r="N67" s="40"/>
      <c r="O67" s="56"/>
      <c r="P67" s="39" t="str">
        <f>IF($P$5="","",$P$5)</f>
        <v/>
      </c>
      <c r="Q67" s="40"/>
      <c r="R67" s="40"/>
      <c r="S67" s="40"/>
      <c r="T67" s="56"/>
      <c r="U67" s="39" t="str">
        <f>IF($U$5="","",$U$5)</f>
        <v/>
      </c>
      <c r="V67" s="40"/>
      <c r="W67" s="40"/>
      <c r="X67" s="40"/>
      <c r="Y67" s="56"/>
      <c r="Z67" s="39" t="str">
        <f>IF($Z$5="","",$Z$5)</f>
        <v/>
      </c>
      <c r="AA67" s="40"/>
      <c r="AB67" s="56"/>
      <c r="AD67" s="8"/>
      <c r="AE67" s="14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6"/>
      <c r="AQ67" s="14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7"/>
      <c r="DA67" s="6"/>
    </row>
    <row r="68" spans="1:105" ht="7.5" customHeight="1">
      <c r="M68" s="58"/>
      <c r="N68" s="59"/>
      <c r="O68" s="60"/>
      <c r="P68" s="58"/>
      <c r="Q68" s="59"/>
      <c r="R68" s="59"/>
      <c r="S68" s="59"/>
      <c r="T68" s="60"/>
      <c r="U68" s="58"/>
      <c r="V68" s="59"/>
      <c r="W68" s="59"/>
      <c r="X68" s="59"/>
      <c r="Y68" s="60"/>
      <c r="Z68" s="58"/>
      <c r="AA68" s="59"/>
      <c r="AB68" s="60"/>
      <c r="AD68" s="8"/>
      <c r="BL68" s="18"/>
      <c r="DA68" s="6"/>
    </row>
    <row r="69" spans="1:105" ht="7.5" customHeight="1">
      <c r="M69" s="58"/>
      <c r="N69" s="59"/>
      <c r="O69" s="60"/>
      <c r="P69" s="58"/>
      <c r="Q69" s="59"/>
      <c r="R69" s="59"/>
      <c r="S69" s="59"/>
      <c r="T69" s="60"/>
      <c r="U69" s="58"/>
      <c r="V69" s="59"/>
      <c r="W69" s="59"/>
      <c r="X69" s="59"/>
      <c r="Y69" s="60"/>
      <c r="Z69" s="58"/>
      <c r="AA69" s="59"/>
      <c r="AB69" s="60"/>
      <c r="AD69" s="8"/>
      <c r="BL69" s="18"/>
      <c r="DA69" s="6"/>
    </row>
    <row r="70" spans="1:105" ht="18">
      <c r="M70" s="58"/>
      <c r="N70" s="59"/>
      <c r="O70" s="60"/>
      <c r="P70" s="58"/>
      <c r="Q70" s="59"/>
      <c r="R70" s="59"/>
      <c r="S70" s="59"/>
      <c r="T70" s="60"/>
      <c r="U70" s="58"/>
      <c r="V70" s="59"/>
      <c r="W70" s="59"/>
      <c r="X70" s="59"/>
      <c r="Y70" s="60"/>
      <c r="Z70" s="58"/>
      <c r="AA70" s="59"/>
      <c r="AB70" s="60"/>
      <c r="AD70" s="8"/>
      <c r="BL70" s="18"/>
      <c r="DA70" s="6"/>
    </row>
    <row r="71" spans="1:105" ht="18">
      <c r="B71" s="61">
        <f>$B$9</f>
        <v>45860</v>
      </c>
      <c r="C71" s="61"/>
      <c r="D71" s="61"/>
      <c r="E71" s="61"/>
      <c r="F71" s="61"/>
      <c r="G71" s="61"/>
      <c r="H71" s="61"/>
      <c r="I71" s="61"/>
      <c r="J71" s="61"/>
      <c r="M71" s="42"/>
      <c r="N71" s="43"/>
      <c r="O71" s="57"/>
      <c r="P71" s="42"/>
      <c r="Q71" s="43"/>
      <c r="R71" s="43"/>
      <c r="S71" s="43"/>
      <c r="T71" s="57"/>
      <c r="U71" s="42"/>
      <c r="V71" s="43"/>
      <c r="W71" s="43"/>
      <c r="X71" s="43"/>
      <c r="Y71" s="57"/>
      <c r="Z71" s="42"/>
      <c r="AA71" s="43"/>
      <c r="AB71" s="57"/>
      <c r="AD71" s="8"/>
      <c r="AE71" s="19" t="s">
        <v>52</v>
      </c>
      <c r="AF71" s="35" t="s">
        <v>1</v>
      </c>
      <c r="AG71" s="36"/>
      <c r="AH71" s="36"/>
      <c r="AI71" s="36"/>
      <c r="AJ71" s="36"/>
      <c r="AK71" s="36"/>
      <c r="AL71" s="36"/>
      <c r="AM71" s="36"/>
      <c r="AN71" s="36"/>
      <c r="AV71" s="19" t="s">
        <v>53</v>
      </c>
      <c r="AW71" s="35" t="s">
        <v>10</v>
      </c>
      <c r="AX71" s="36"/>
      <c r="AY71" s="36"/>
      <c r="AZ71" s="36"/>
      <c r="BA71" s="36"/>
      <c r="BB71" s="36"/>
      <c r="BC71" s="36"/>
      <c r="BD71" s="36"/>
      <c r="BE71" s="36"/>
      <c r="BL71" s="18"/>
      <c r="DA71" s="6"/>
    </row>
    <row r="72" spans="1:105" ht="14.25" customHeight="1">
      <c r="AD72" s="8"/>
      <c r="AE72" s="37" t="s">
        <v>16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V72" s="37" t="s">
        <v>16</v>
      </c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18"/>
      <c r="DA72" s="6"/>
    </row>
    <row r="73" spans="1:105" ht="14.25" customHeight="1">
      <c r="A73" s="39" t="str">
        <f>$A$11</f>
        <v>CIF</v>
      </c>
      <c r="B73" s="40"/>
      <c r="C73" s="40"/>
      <c r="D73" s="41"/>
      <c r="E73" s="45" t="str">
        <f>IF($E$11="","",$E$11)</f>
        <v/>
      </c>
      <c r="F73" s="40"/>
      <c r="G73" s="40"/>
      <c r="H73" s="40"/>
      <c r="I73" s="40"/>
      <c r="J73" s="40"/>
      <c r="K73" s="40"/>
      <c r="L73" s="40"/>
      <c r="M73" s="41"/>
      <c r="N73" s="45" t="str">
        <f>$N$11</f>
        <v>勘定店番</v>
      </c>
      <c r="O73" s="40"/>
      <c r="P73" s="40"/>
      <c r="Q73" s="40"/>
      <c r="R73" s="40"/>
      <c r="S73" s="41"/>
      <c r="T73" s="47" t="str">
        <f>IF($T$11="","",$T$11)</f>
        <v/>
      </c>
      <c r="U73" s="48"/>
      <c r="V73" s="48"/>
      <c r="W73" s="48"/>
      <c r="X73" s="48"/>
      <c r="Y73" s="48"/>
      <c r="Z73" s="48"/>
      <c r="AA73" s="48"/>
      <c r="AB73" s="49"/>
      <c r="AD73" s="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18"/>
      <c r="DA73" s="6"/>
    </row>
    <row r="74" spans="1:105" ht="14.25" customHeight="1">
      <c r="A74" s="42"/>
      <c r="B74" s="43"/>
      <c r="C74" s="43"/>
      <c r="D74" s="44"/>
      <c r="E74" s="46"/>
      <c r="F74" s="43"/>
      <c r="G74" s="43"/>
      <c r="H74" s="43"/>
      <c r="I74" s="43"/>
      <c r="J74" s="43"/>
      <c r="K74" s="43"/>
      <c r="L74" s="43"/>
      <c r="M74" s="44"/>
      <c r="N74" s="53" t="str">
        <f>$N$12</f>
        <v>(勘定移管レス先のみ)</v>
      </c>
      <c r="O74" s="54"/>
      <c r="P74" s="54"/>
      <c r="Q74" s="54"/>
      <c r="R74" s="54"/>
      <c r="S74" s="55"/>
      <c r="T74" s="50"/>
      <c r="U74" s="51"/>
      <c r="V74" s="51"/>
      <c r="W74" s="51"/>
      <c r="X74" s="51"/>
      <c r="Y74" s="51"/>
      <c r="Z74" s="51"/>
      <c r="AA74" s="51"/>
      <c r="AB74" s="52"/>
      <c r="AD74" s="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18"/>
      <c r="DA74" s="6"/>
    </row>
    <row r="75" spans="1:105" ht="14.25" customHeight="1">
      <c r="A75" s="39" t="str">
        <f>$A$13</f>
        <v>債務者名</v>
      </c>
      <c r="B75" s="40"/>
      <c r="C75" s="40"/>
      <c r="D75" s="41"/>
      <c r="E75" s="45" t="str">
        <f>IF($E$13="","",$E$13)</f>
        <v/>
      </c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56"/>
      <c r="AD75" s="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18"/>
      <c r="DA75" s="6"/>
    </row>
    <row r="76" spans="1:105" ht="14.25" customHeight="1">
      <c r="A76" s="42"/>
      <c r="B76" s="43"/>
      <c r="C76" s="43"/>
      <c r="D76" s="44"/>
      <c r="E76" s="46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57"/>
      <c r="AD76" s="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18"/>
      <c r="DA76" s="6"/>
    </row>
    <row r="77" spans="1:105" ht="14.25" customHeight="1">
      <c r="A77" s="3"/>
      <c r="B77" s="4" t="s">
        <v>24</v>
      </c>
      <c r="C77" s="4"/>
      <c r="D77" s="4"/>
      <c r="E77" s="4"/>
      <c r="F77" s="4" t="s">
        <v>25</v>
      </c>
      <c r="G77" s="4"/>
      <c r="H77" s="4" t="s">
        <v>26</v>
      </c>
      <c r="I77" s="4"/>
      <c r="J77" s="4" t="s">
        <v>27</v>
      </c>
      <c r="K77" s="4"/>
      <c r="L77" s="4" t="s">
        <v>26</v>
      </c>
      <c r="M77" s="4" t="s">
        <v>28</v>
      </c>
      <c r="N77" s="4"/>
      <c r="O77" s="4"/>
      <c r="P77" s="4" t="s">
        <v>29</v>
      </c>
      <c r="Q77" s="20" t="s">
        <v>30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D77" s="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18"/>
      <c r="DA77" s="6"/>
    </row>
    <row r="78" spans="1:105" ht="14.25" customHeight="1">
      <c r="A78" s="8"/>
      <c r="AB78" s="18"/>
      <c r="AD78" s="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18"/>
      <c r="DA78" s="6"/>
    </row>
    <row r="79" spans="1:105" ht="14.25" customHeight="1">
      <c r="A79" s="8"/>
      <c r="B79" s="1" t="s">
        <v>33</v>
      </c>
      <c r="G79" s="1" t="s">
        <v>34</v>
      </c>
      <c r="AB79" s="18"/>
      <c r="AD79" s="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18"/>
      <c r="DA79" s="6"/>
    </row>
    <row r="80" spans="1:105" ht="14.25" customHeight="1">
      <c r="A80" s="8"/>
      <c r="G80" s="1" t="s">
        <v>36</v>
      </c>
      <c r="AB80" s="18"/>
      <c r="AD80" s="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18"/>
      <c r="DA80" s="6"/>
    </row>
    <row r="81" spans="1:105" ht="14.25" customHeight="1">
      <c r="A81" s="8"/>
      <c r="AB81" s="18"/>
      <c r="AD81" s="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18"/>
      <c r="DA81" s="6"/>
    </row>
    <row r="82" spans="1:105" ht="14.25" customHeight="1">
      <c r="A82" s="8"/>
      <c r="B82" s="37" t="s">
        <v>39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18"/>
      <c r="AD82" s="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18"/>
      <c r="DA82" s="6"/>
    </row>
    <row r="83" spans="1:105" ht="14.25" customHeight="1">
      <c r="A83" s="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18"/>
      <c r="AD83" s="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18"/>
      <c r="DA83" s="6"/>
    </row>
    <row r="84" spans="1:105" ht="14.25" customHeight="1">
      <c r="A84" s="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18"/>
      <c r="AD84" s="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18"/>
      <c r="DA84" s="6"/>
    </row>
    <row r="85" spans="1:105" ht="14.25" customHeight="1">
      <c r="A85" s="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18"/>
      <c r="AD85" s="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18"/>
      <c r="DA85" s="6"/>
    </row>
    <row r="86" spans="1:105" ht="14.25" customHeight="1">
      <c r="A86" s="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18"/>
      <c r="AD86" s="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18"/>
      <c r="DA86" s="6"/>
    </row>
    <row r="87" spans="1:105" ht="14.25" customHeight="1">
      <c r="A87" s="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18"/>
      <c r="AD87" s="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18"/>
      <c r="DA87" s="6"/>
    </row>
    <row r="88" spans="1:105" ht="4.5" customHeight="1">
      <c r="A88" s="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18"/>
      <c r="AD88" s="8"/>
      <c r="BL88" s="18"/>
      <c r="DA88" s="6"/>
    </row>
    <row r="89" spans="1:105" ht="13.5" customHeight="1">
      <c r="A89" s="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18"/>
      <c r="AD89" s="8"/>
      <c r="AE89" s="19" t="s">
        <v>54</v>
      </c>
      <c r="AF89" s="35"/>
      <c r="AG89" s="36"/>
      <c r="AH89" s="36"/>
      <c r="AI89" s="36"/>
      <c r="AJ89" s="36"/>
      <c r="AK89" s="36"/>
      <c r="AL89" s="36"/>
      <c r="AM89" s="36"/>
      <c r="AN89" s="36"/>
      <c r="AV89" s="19" t="s">
        <v>55</v>
      </c>
      <c r="AW89" s="35"/>
      <c r="AX89" s="36"/>
      <c r="AY89" s="36"/>
      <c r="AZ89" s="36"/>
      <c r="BA89" s="36"/>
      <c r="BB89" s="36"/>
      <c r="BC89" s="36"/>
      <c r="BD89" s="36"/>
      <c r="BE89" s="36"/>
      <c r="BL89" s="18"/>
      <c r="DA89" s="6"/>
    </row>
    <row r="90" spans="1:105" ht="14.25" customHeight="1">
      <c r="A90" s="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18"/>
      <c r="AD90" s="8"/>
      <c r="AE90" s="37" t="s">
        <v>16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V90" s="37" t="s">
        <v>16</v>
      </c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18"/>
    </row>
    <row r="91" spans="1:105" ht="14.25" customHeight="1">
      <c r="A91" s="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18"/>
      <c r="AD91" s="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18"/>
    </row>
    <row r="92" spans="1:105" ht="14.25" customHeight="1">
      <c r="A92" s="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18"/>
      <c r="AD92" s="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18"/>
    </row>
    <row r="93" spans="1:105" ht="14.25" customHeight="1">
      <c r="A93" s="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18"/>
      <c r="AD93" s="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18"/>
    </row>
    <row r="94" spans="1:105" ht="14.25" customHeight="1">
      <c r="A94" s="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18"/>
      <c r="AD94" s="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18"/>
    </row>
    <row r="95" spans="1:105" ht="14.25" customHeight="1">
      <c r="A95" s="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18"/>
      <c r="AD95" s="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18"/>
    </row>
    <row r="96" spans="1:105" ht="14.25" customHeight="1">
      <c r="A96" s="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18"/>
      <c r="AD96" s="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18"/>
    </row>
    <row r="97" spans="1:64" ht="14.25" customHeight="1">
      <c r="A97" s="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18"/>
      <c r="AD97" s="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18"/>
    </row>
    <row r="98" spans="1:64" ht="14.25" customHeight="1">
      <c r="A98" s="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18"/>
      <c r="AD98" s="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18"/>
    </row>
    <row r="99" spans="1:64" ht="14.25" customHeight="1">
      <c r="A99" s="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8"/>
      <c r="AD99" s="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18"/>
    </row>
    <row r="100" spans="1:64" ht="14.25" customHeight="1">
      <c r="A100" s="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8"/>
      <c r="AD100" s="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18"/>
    </row>
    <row r="101" spans="1:64" ht="14.25" customHeight="1">
      <c r="A101" s="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8"/>
      <c r="AD101" s="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18"/>
    </row>
    <row r="102" spans="1:64" ht="14.25" customHeight="1">
      <c r="A102" s="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8"/>
      <c r="AD102" s="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18"/>
    </row>
    <row r="103" spans="1:64" ht="14.25" customHeight="1">
      <c r="A103" s="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8"/>
      <c r="AD103" s="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18"/>
    </row>
    <row r="104" spans="1:64" ht="14.25" customHeight="1">
      <c r="A104" s="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8"/>
      <c r="AD104" s="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18"/>
    </row>
    <row r="105" spans="1:64" ht="14.25" customHeight="1">
      <c r="A105" s="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8"/>
      <c r="AD105" s="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18"/>
    </row>
    <row r="106" spans="1:64" ht="4.5" customHeight="1">
      <c r="A106" s="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8"/>
      <c r="AD106" s="8"/>
      <c r="BL106" s="18"/>
    </row>
    <row r="107" spans="1:64" ht="13.5" customHeight="1">
      <c r="A107" s="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8"/>
      <c r="AD107" s="8"/>
      <c r="AE107" s="19" t="s">
        <v>56</v>
      </c>
      <c r="AF107" s="35"/>
      <c r="AG107" s="36"/>
      <c r="AH107" s="36"/>
      <c r="AI107" s="36"/>
      <c r="AJ107" s="36"/>
      <c r="AK107" s="36"/>
      <c r="AL107" s="36"/>
      <c r="AM107" s="36"/>
      <c r="AN107" s="36"/>
      <c r="AV107" s="19" t="s">
        <v>57</v>
      </c>
      <c r="AW107" s="35"/>
      <c r="AX107" s="36"/>
      <c r="AY107" s="36"/>
      <c r="AZ107" s="36"/>
      <c r="BA107" s="36"/>
      <c r="BB107" s="36"/>
      <c r="BC107" s="36"/>
      <c r="BD107" s="36"/>
      <c r="BE107" s="36"/>
      <c r="BL107" s="18"/>
    </row>
    <row r="108" spans="1:64" ht="14.25" customHeight="1">
      <c r="A108" s="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"/>
      <c r="AD108" s="8"/>
      <c r="AE108" s="37" t="s">
        <v>16</v>
      </c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V108" s="37" t="s">
        <v>16</v>
      </c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18"/>
    </row>
    <row r="109" spans="1:64" ht="14.25" customHeight="1">
      <c r="A109" s="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8"/>
      <c r="AD109" s="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18"/>
    </row>
    <row r="110" spans="1:64" ht="14.25" customHeight="1">
      <c r="A110" s="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18"/>
      <c r="AD110" s="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18"/>
    </row>
    <row r="111" spans="1:64" ht="14.25" customHeight="1">
      <c r="A111" s="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"/>
      <c r="AD111" s="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18"/>
    </row>
    <row r="112" spans="1:64" ht="14.25" customHeight="1">
      <c r="A112" s="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8"/>
      <c r="AD112" s="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18"/>
    </row>
    <row r="113" spans="1:105" ht="14.25" customHeight="1">
      <c r="A113" s="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8"/>
      <c r="AD113" s="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18"/>
    </row>
    <row r="114" spans="1:105" ht="14.25" customHeight="1">
      <c r="A114" s="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8"/>
      <c r="AD114" s="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18"/>
    </row>
    <row r="115" spans="1:105" ht="14.25" customHeight="1">
      <c r="A115" s="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"/>
      <c r="AD115" s="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18"/>
    </row>
    <row r="116" spans="1:105" ht="14.25" customHeight="1">
      <c r="A116" s="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18"/>
      <c r="AD116" s="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18"/>
    </row>
    <row r="117" spans="1:105" ht="14.25" customHeight="1">
      <c r="A117" s="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18"/>
      <c r="AD117" s="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18"/>
    </row>
    <row r="118" spans="1:105" ht="14.25" customHeight="1">
      <c r="A118" s="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"/>
      <c r="AD118" s="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18"/>
    </row>
    <row r="119" spans="1:105" ht="14.25" customHeight="1">
      <c r="A119" s="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18"/>
      <c r="AD119" s="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18"/>
    </row>
    <row r="120" spans="1:105" ht="14.25" customHeight="1">
      <c r="A120" s="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18"/>
      <c r="AD120" s="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18"/>
    </row>
    <row r="121" spans="1:105" ht="14.25" customHeight="1">
      <c r="A121" s="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"/>
      <c r="AD121" s="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18"/>
    </row>
    <row r="122" spans="1:105" ht="14.25" customHeight="1">
      <c r="A122" s="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18"/>
      <c r="AD122" s="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18"/>
    </row>
    <row r="123" spans="1:105" ht="14.25" customHeight="1">
      <c r="A123" s="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18"/>
      <c r="AD123" s="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18"/>
    </row>
    <row r="124" spans="1:105" ht="5.25" customHeight="1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3"/>
      <c r="AD124" s="21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3"/>
    </row>
    <row r="125" spans="1:105" ht="7.5" customHeight="1"/>
    <row r="126" spans="1:105" ht="22">
      <c r="A126" s="2" t="s">
        <v>0</v>
      </c>
      <c r="M126" s="63">
        <f>$M$2</f>
        <v>2</v>
      </c>
      <c r="N126" s="63"/>
      <c r="AD126" s="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 t="str">
        <f>IF($BB$2="","",$BB$2)</f>
        <v/>
      </c>
      <c r="BC126" s="26"/>
      <c r="BD126" s="26"/>
      <c r="BE126" s="26"/>
      <c r="BF126" s="27"/>
      <c r="BG126" s="26">
        <f>$BG$2</f>
        <v>3159205</v>
      </c>
      <c r="BH126" s="26"/>
      <c r="BI126" s="26"/>
      <c r="BJ126" s="26"/>
      <c r="BK126" s="26"/>
      <c r="BL126" s="5"/>
      <c r="DA126" s="6"/>
    </row>
    <row r="127" spans="1:105" ht="7.5" customHeight="1">
      <c r="A127" s="7"/>
      <c r="AD127" s="8"/>
      <c r="AE127" s="9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1"/>
      <c r="AQ127" s="9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2"/>
      <c r="DA127" s="6"/>
    </row>
    <row r="128" spans="1:105" ht="18">
      <c r="M128" s="28" t="s">
        <v>3</v>
      </c>
      <c r="N128" s="29"/>
      <c r="O128" s="30"/>
      <c r="P128" s="28" t="str">
        <f>IF($CB$2=1,"勘 定 店 名","店　　名")</f>
        <v>店　　名</v>
      </c>
      <c r="Q128" s="29"/>
      <c r="R128" s="29"/>
      <c r="S128" s="29"/>
      <c r="T128" s="30"/>
      <c r="U128" s="28" t="s">
        <v>4</v>
      </c>
      <c r="V128" s="29"/>
      <c r="W128" s="29"/>
      <c r="X128" s="29"/>
      <c r="Y128" s="30"/>
      <c r="Z128" s="28" t="s">
        <v>5</v>
      </c>
      <c r="AA128" s="29"/>
      <c r="AB128" s="30"/>
      <c r="AD128" s="8"/>
      <c r="AE128" s="13"/>
      <c r="AF128" s="1" t="s">
        <v>6</v>
      </c>
      <c r="AJ128" s="31">
        <f>$AJ$4</f>
        <v>45860</v>
      </c>
      <c r="AK128" s="31"/>
      <c r="AL128" s="31"/>
      <c r="AM128" s="31"/>
      <c r="AN128" s="31"/>
      <c r="AO128" s="31"/>
      <c r="AP128" s="32"/>
      <c r="AQ128" s="13"/>
      <c r="AR128" s="1" t="s">
        <v>7</v>
      </c>
      <c r="AV128" s="33" t="str">
        <f>$AV$4</f>
        <v>埼玉県秩父郡小鹿野町両神薄字中原里248-2</v>
      </c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4"/>
      <c r="DA128" s="6"/>
    </row>
    <row r="129" spans="1:105" ht="7.5" customHeight="1">
      <c r="M129" s="39" t="str">
        <f>IF($M$5="","",$M$5)</f>
        <v/>
      </c>
      <c r="N129" s="40"/>
      <c r="O129" s="56"/>
      <c r="P129" s="39" t="str">
        <f>IF($P$5="","",$P$5)</f>
        <v/>
      </c>
      <c r="Q129" s="40"/>
      <c r="R129" s="40"/>
      <c r="S129" s="40"/>
      <c r="T129" s="56"/>
      <c r="U129" s="39" t="str">
        <f>IF($U$5="","",$U$5)</f>
        <v/>
      </c>
      <c r="V129" s="40"/>
      <c r="W129" s="40"/>
      <c r="X129" s="40"/>
      <c r="Y129" s="56"/>
      <c r="Z129" s="39" t="str">
        <f>IF($Z$5="","",$Z$5)</f>
        <v/>
      </c>
      <c r="AA129" s="40"/>
      <c r="AB129" s="56"/>
      <c r="AD129" s="8"/>
      <c r="AE129" s="14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6"/>
      <c r="AQ129" s="14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7"/>
      <c r="DA129" s="6"/>
    </row>
    <row r="130" spans="1:105" ht="7.5" customHeight="1">
      <c r="M130" s="58"/>
      <c r="N130" s="59"/>
      <c r="O130" s="60"/>
      <c r="P130" s="58"/>
      <c r="Q130" s="59"/>
      <c r="R130" s="59"/>
      <c r="S130" s="59"/>
      <c r="T130" s="60"/>
      <c r="U130" s="58"/>
      <c r="V130" s="59"/>
      <c r="W130" s="59"/>
      <c r="X130" s="59"/>
      <c r="Y130" s="60"/>
      <c r="Z130" s="58"/>
      <c r="AA130" s="59"/>
      <c r="AB130" s="60"/>
      <c r="AD130" s="8"/>
      <c r="BL130" s="18"/>
      <c r="DA130" s="6"/>
    </row>
    <row r="131" spans="1:105" ht="7.5" customHeight="1">
      <c r="M131" s="58"/>
      <c r="N131" s="59"/>
      <c r="O131" s="60"/>
      <c r="P131" s="58"/>
      <c r="Q131" s="59"/>
      <c r="R131" s="59"/>
      <c r="S131" s="59"/>
      <c r="T131" s="60"/>
      <c r="U131" s="58"/>
      <c r="V131" s="59"/>
      <c r="W131" s="59"/>
      <c r="X131" s="59"/>
      <c r="Y131" s="60"/>
      <c r="Z131" s="58"/>
      <c r="AA131" s="59"/>
      <c r="AB131" s="60"/>
      <c r="AD131" s="8"/>
      <c r="BL131" s="18"/>
      <c r="DA131" s="6"/>
    </row>
    <row r="132" spans="1:105" ht="18">
      <c r="M132" s="58"/>
      <c r="N132" s="59"/>
      <c r="O132" s="60"/>
      <c r="P132" s="58"/>
      <c r="Q132" s="59"/>
      <c r="R132" s="59"/>
      <c r="S132" s="59"/>
      <c r="T132" s="60"/>
      <c r="U132" s="58"/>
      <c r="V132" s="59"/>
      <c r="W132" s="59"/>
      <c r="X132" s="59"/>
      <c r="Y132" s="60"/>
      <c r="Z132" s="58"/>
      <c r="AA132" s="59"/>
      <c r="AB132" s="60"/>
      <c r="AD132" s="8"/>
      <c r="BL132" s="18"/>
      <c r="DA132" s="6"/>
    </row>
    <row r="133" spans="1:105" ht="18">
      <c r="B133" s="61">
        <f>$B$9</f>
        <v>45860</v>
      </c>
      <c r="C133" s="61"/>
      <c r="D133" s="61"/>
      <c r="E133" s="61"/>
      <c r="F133" s="61"/>
      <c r="G133" s="61"/>
      <c r="H133" s="61"/>
      <c r="I133" s="61"/>
      <c r="J133" s="61"/>
      <c r="M133" s="42"/>
      <c r="N133" s="43"/>
      <c r="O133" s="57"/>
      <c r="P133" s="42"/>
      <c r="Q133" s="43"/>
      <c r="R133" s="43"/>
      <c r="S133" s="43"/>
      <c r="T133" s="57"/>
      <c r="U133" s="42"/>
      <c r="V133" s="43"/>
      <c r="W133" s="43"/>
      <c r="X133" s="43"/>
      <c r="Y133" s="57"/>
      <c r="Z133" s="42"/>
      <c r="AA133" s="43"/>
      <c r="AB133" s="57"/>
      <c r="AD133" s="8"/>
      <c r="AE133" s="19" t="s">
        <v>58</v>
      </c>
      <c r="AF133" s="35"/>
      <c r="AG133" s="36"/>
      <c r="AH133" s="36"/>
      <c r="AI133" s="36"/>
      <c r="AJ133" s="36"/>
      <c r="AK133" s="36"/>
      <c r="AL133" s="36"/>
      <c r="AM133" s="36"/>
      <c r="AN133" s="36"/>
      <c r="AV133" s="19" t="s">
        <v>59</v>
      </c>
      <c r="AW133" s="35"/>
      <c r="AX133" s="36"/>
      <c r="AY133" s="36"/>
      <c r="AZ133" s="36"/>
      <c r="BA133" s="36"/>
      <c r="BB133" s="36"/>
      <c r="BC133" s="36"/>
      <c r="BD133" s="36"/>
      <c r="BE133" s="36"/>
      <c r="BL133" s="18"/>
      <c r="DA133" s="6"/>
    </row>
    <row r="134" spans="1:105" ht="14.25" customHeight="1">
      <c r="AD134" s="8"/>
      <c r="AE134" s="37" t="s">
        <v>16</v>
      </c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V134" s="37" t="s">
        <v>16</v>
      </c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18"/>
      <c r="DA134" s="6"/>
    </row>
    <row r="135" spans="1:105" ht="14.25" customHeight="1">
      <c r="A135" s="39" t="str">
        <f>$A$11</f>
        <v>CIF</v>
      </c>
      <c r="B135" s="40"/>
      <c r="C135" s="40"/>
      <c r="D135" s="41"/>
      <c r="E135" s="45" t="str">
        <f>IF($E$11="","",$E$11)</f>
        <v/>
      </c>
      <c r="F135" s="40"/>
      <c r="G135" s="40"/>
      <c r="H135" s="40"/>
      <c r="I135" s="40"/>
      <c r="J135" s="40"/>
      <c r="K135" s="40"/>
      <c r="L135" s="40"/>
      <c r="M135" s="41"/>
      <c r="N135" s="45" t="str">
        <f>$N$11</f>
        <v>勘定店番</v>
      </c>
      <c r="O135" s="40"/>
      <c r="P135" s="40"/>
      <c r="Q135" s="40"/>
      <c r="R135" s="40"/>
      <c r="S135" s="41"/>
      <c r="T135" s="47" t="str">
        <f>IF($T$11="","",$T$11)</f>
        <v/>
      </c>
      <c r="U135" s="48"/>
      <c r="V135" s="48"/>
      <c r="W135" s="48"/>
      <c r="X135" s="48"/>
      <c r="Y135" s="48"/>
      <c r="Z135" s="48"/>
      <c r="AA135" s="48"/>
      <c r="AB135" s="49"/>
      <c r="AD135" s="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18"/>
      <c r="DA135" s="6"/>
    </row>
    <row r="136" spans="1:105" ht="14.25" customHeight="1">
      <c r="A136" s="42"/>
      <c r="B136" s="43"/>
      <c r="C136" s="43"/>
      <c r="D136" s="44"/>
      <c r="E136" s="46"/>
      <c r="F136" s="43"/>
      <c r="G136" s="43"/>
      <c r="H136" s="43"/>
      <c r="I136" s="43"/>
      <c r="J136" s="43"/>
      <c r="K136" s="43"/>
      <c r="L136" s="43"/>
      <c r="M136" s="44"/>
      <c r="N136" s="53" t="str">
        <f>$N$12</f>
        <v>(勘定移管レス先のみ)</v>
      </c>
      <c r="O136" s="54"/>
      <c r="P136" s="54"/>
      <c r="Q136" s="54"/>
      <c r="R136" s="54"/>
      <c r="S136" s="55"/>
      <c r="T136" s="50"/>
      <c r="U136" s="51"/>
      <c r="V136" s="51"/>
      <c r="W136" s="51"/>
      <c r="X136" s="51"/>
      <c r="Y136" s="51"/>
      <c r="Z136" s="51"/>
      <c r="AA136" s="51"/>
      <c r="AB136" s="52"/>
      <c r="AD136" s="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18"/>
      <c r="DA136" s="6"/>
    </row>
    <row r="137" spans="1:105" ht="14.25" customHeight="1">
      <c r="A137" s="39" t="str">
        <f>$A$13</f>
        <v>債務者名</v>
      </c>
      <c r="B137" s="40"/>
      <c r="C137" s="40"/>
      <c r="D137" s="41"/>
      <c r="E137" s="45" t="str">
        <f>IF($E$13="","",$E$13)</f>
        <v/>
      </c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56"/>
      <c r="AD137" s="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18"/>
      <c r="DA137" s="6"/>
    </row>
    <row r="138" spans="1:105" ht="14.25" customHeight="1">
      <c r="A138" s="42"/>
      <c r="B138" s="43"/>
      <c r="C138" s="43"/>
      <c r="D138" s="44"/>
      <c r="E138" s="46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57"/>
      <c r="AD138" s="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18"/>
      <c r="DA138" s="6"/>
    </row>
    <row r="139" spans="1:105" ht="14.25" customHeight="1">
      <c r="A139" s="3"/>
      <c r="B139" s="4" t="s">
        <v>24</v>
      </c>
      <c r="C139" s="4"/>
      <c r="D139" s="4"/>
      <c r="E139" s="4"/>
      <c r="F139" s="4" t="s">
        <v>25</v>
      </c>
      <c r="G139" s="4"/>
      <c r="H139" s="4" t="s">
        <v>26</v>
      </c>
      <c r="I139" s="4"/>
      <c r="J139" s="4" t="s">
        <v>27</v>
      </c>
      <c r="K139" s="4"/>
      <c r="L139" s="4" t="s">
        <v>26</v>
      </c>
      <c r="M139" s="4" t="s">
        <v>28</v>
      </c>
      <c r="N139" s="4"/>
      <c r="O139" s="4"/>
      <c r="P139" s="4" t="s">
        <v>29</v>
      </c>
      <c r="Q139" s="20" t="s">
        <v>30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D139" s="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18"/>
      <c r="DA139" s="6"/>
    </row>
    <row r="140" spans="1:105" ht="14.25" customHeight="1">
      <c r="A140" s="8"/>
      <c r="AB140" s="18"/>
      <c r="AD140" s="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18"/>
      <c r="DA140" s="6"/>
    </row>
    <row r="141" spans="1:105" ht="14.25" customHeight="1">
      <c r="A141" s="8"/>
      <c r="B141" s="1" t="s">
        <v>33</v>
      </c>
      <c r="G141" s="1" t="s">
        <v>34</v>
      </c>
      <c r="AB141" s="18"/>
      <c r="AD141" s="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18"/>
      <c r="DA141" s="6"/>
    </row>
    <row r="142" spans="1:105" ht="14.25" customHeight="1">
      <c r="A142" s="8"/>
      <c r="G142" s="1" t="s">
        <v>36</v>
      </c>
      <c r="AB142" s="18"/>
      <c r="AD142" s="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18"/>
      <c r="DA142" s="6"/>
    </row>
    <row r="143" spans="1:105" ht="14.25" customHeight="1">
      <c r="A143" s="8"/>
      <c r="AB143" s="18"/>
      <c r="AD143" s="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18"/>
      <c r="DA143" s="6"/>
    </row>
    <row r="144" spans="1:105" ht="14.25" customHeight="1">
      <c r="A144" s="8"/>
      <c r="B144" s="37" t="s">
        <v>39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18"/>
      <c r="AD144" s="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18"/>
      <c r="DA144" s="6"/>
    </row>
    <row r="145" spans="1:105" ht="14.25" customHeight="1">
      <c r="A145" s="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18"/>
      <c r="AD145" s="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18"/>
      <c r="DA145" s="6"/>
    </row>
    <row r="146" spans="1:105" ht="14.25" customHeight="1">
      <c r="A146" s="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18"/>
      <c r="AD146" s="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18"/>
      <c r="DA146" s="6"/>
    </row>
    <row r="147" spans="1:105" ht="14.25" customHeight="1">
      <c r="A147" s="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18"/>
      <c r="AD147" s="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18"/>
      <c r="DA147" s="6"/>
    </row>
    <row r="148" spans="1:105" ht="14.25" customHeight="1">
      <c r="A148" s="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18"/>
      <c r="AD148" s="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18"/>
      <c r="DA148" s="6"/>
    </row>
    <row r="149" spans="1:105" ht="14.25" customHeight="1">
      <c r="A149" s="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18"/>
      <c r="AD149" s="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18"/>
      <c r="DA149" s="6"/>
    </row>
    <row r="150" spans="1:105" ht="4.5" customHeight="1">
      <c r="A150" s="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18"/>
      <c r="AD150" s="8"/>
      <c r="BL150" s="18"/>
      <c r="DA150" s="6"/>
    </row>
    <row r="151" spans="1:105" ht="13.5" customHeight="1">
      <c r="A151" s="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18"/>
      <c r="AD151" s="8"/>
      <c r="AE151" s="19" t="s">
        <v>60</v>
      </c>
      <c r="AF151" s="35"/>
      <c r="AG151" s="36"/>
      <c r="AH151" s="36"/>
      <c r="AI151" s="36"/>
      <c r="AJ151" s="36"/>
      <c r="AK151" s="36"/>
      <c r="AL151" s="36"/>
      <c r="AM151" s="36"/>
      <c r="AN151" s="36"/>
      <c r="AV151" s="19" t="s">
        <v>61</v>
      </c>
      <c r="AW151" s="35"/>
      <c r="AX151" s="36"/>
      <c r="AY151" s="36"/>
      <c r="AZ151" s="36"/>
      <c r="BA151" s="36"/>
      <c r="BB151" s="36"/>
      <c r="BC151" s="36"/>
      <c r="BD151" s="36"/>
      <c r="BE151" s="36"/>
      <c r="BL151" s="18"/>
      <c r="DA151" s="6"/>
    </row>
    <row r="152" spans="1:105" ht="14.25" customHeight="1">
      <c r="A152" s="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18"/>
      <c r="AD152" s="8"/>
      <c r="AE152" s="37" t="s">
        <v>16</v>
      </c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V152" s="37" t="s">
        <v>16</v>
      </c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18"/>
    </row>
    <row r="153" spans="1:105" ht="14.25" customHeight="1">
      <c r="A153" s="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18"/>
      <c r="AD153" s="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18"/>
    </row>
    <row r="154" spans="1:105" ht="14.25" customHeight="1">
      <c r="A154" s="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18"/>
      <c r="AD154" s="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18"/>
    </row>
    <row r="155" spans="1:105" ht="14.25" customHeight="1">
      <c r="A155" s="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18"/>
      <c r="AD155" s="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18"/>
    </row>
    <row r="156" spans="1:105" ht="14.25" customHeight="1">
      <c r="A156" s="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18"/>
      <c r="AD156" s="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18"/>
    </row>
    <row r="157" spans="1:105" ht="14.25" customHeight="1">
      <c r="A157" s="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18"/>
      <c r="AD157" s="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18"/>
    </row>
    <row r="158" spans="1:105" ht="14.25" customHeight="1">
      <c r="A158" s="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18"/>
      <c r="AD158" s="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18"/>
    </row>
    <row r="159" spans="1:105" ht="14.25" customHeight="1">
      <c r="A159" s="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18"/>
      <c r="AD159" s="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18"/>
    </row>
    <row r="160" spans="1:105" ht="14.25" customHeight="1">
      <c r="A160" s="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18"/>
      <c r="AD160" s="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18"/>
    </row>
    <row r="161" spans="1:64" ht="14.25" customHeight="1">
      <c r="A161" s="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18"/>
      <c r="AD161" s="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18"/>
    </row>
    <row r="162" spans="1:64" ht="14.25" customHeight="1">
      <c r="A162" s="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18"/>
      <c r="AD162" s="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18"/>
    </row>
    <row r="163" spans="1:64" ht="14.25" customHeight="1">
      <c r="A163" s="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18"/>
      <c r="AD163" s="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18"/>
    </row>
    <row r="164" spans="1:64" ht="14.25" customHeight="1">
      <c r="A164" s="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18"/>
      <c r="AD164" s="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18"/>
    </row>
    <row r="165" spans="1:64" ht="14.25" customHeight="1">
      <c r="A165" s="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18"/>
      <c r="AD165" s="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18"/>
    </row>
    <row r="166" spans="1:64" ht="14.25" customHeight="1">
      <c r="A166" s="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18"/>
      <c r="AD166" s="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18"/>
    </row>
    <row r="167" spans="1:64" ht="14.25" customHeight="1">
      <c r="A167" s="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18"/>
      <c r="AD167" s="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18"/>
    </row>
    <row r="168" spans="1:64" ht="4.5" customHeight="1">
      <c r="A168" s="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18"/>
      <c r="AD168" s="8"/>
      <c r="BL168" s="18"/>
    </row>
    <row r="169" spans="1:64" ht="13.5" customHeight="1">
      <c r="A169" s="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18"/>
      <c r="AD169" s="8"/>
      <c r="AE169" s="19" t="s">
        <v>62</v>
      </c>
      <c r="AF169" s="35"/>
      <c r="AG169" s="36"/>
      <c r="AH169" s="36"/>
      <c r="AI169" s="36"/>
      <c r="AJ169" s="36"/>
      <c r="AK169" s="36"/>
      <c r="AL169" s="36"/>
      <c r="AM169" s="36"/>
      <c r="AN169" s="36"/>
      <c r="AV169" s="19" t="s">
        <v>63</v>
      </c>
      <c r="AW169" s="35"/>
      <c r="AX169" s="36"/>
      <c r="AY169" s="36"/>
      <c r="AZ169" s="36"/>
      <c r="BA169" s="36"/>
      <c r="BB169" s="36"/>
      <c r="BC169" s="36"/>
      <c r="BD169" s="36"/>
      <c r="BE169" s="36"/>
      <c r="BL169" s="18"/>
    </row>
    <row r="170" spans="1:64" ht="14.25" customHeight="1">
      <c r="A170" s="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18"/>
      <c r="AD170" s="8"/>
      <c r="AE170" s="37" t="s">
        <v>16</v>
      </c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V170" s="37" t="s">
        <v>16</v>
      </c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18"/>
    </row>
    <row r="171" spans="1:64" ht="14.25" customHeight="1">
      <c r="A171" s="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18"/>
      <c r="AD171" s="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18"/>
    </row>
    <row r="172" spans="1:64" ht="14.25" customHeight="1">
      <c r="A172" s="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18"/>
      <c r="AD172" s="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18"/>
    </row>
    <row r="173" spans="1:64" ht="14.25" customHeight="1">
      <c r="A173" s="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18"/>
      <c r="AD173" s="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18"/>
    </row>
    <row r="174" spans="1:64" ht="14.25" customHeight="1">
      <c r="A174" s="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18"/>
      <c r="AD174" s="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18"/>
    </row>
    <row r="175" spans="1:64" ht="14.25" customHeight="1">
      <c r="A175" s="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18"/>
      <c r="AD175" s="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18"/>
    </row>
    <row r="176" spans="1:64" ht="14.25" customHeight="1">
      <c r="A176" s="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18"/>
      <c r="AD176" s="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18"/>
    </row>
    <row r="177" spans="1:105" ht="14.25" customHeight="1">
      <c r="A177" s="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18"/>
      <c r="AD177" s="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18"/>
    </row>
    <row r="178" spans="1:105" ht="14.25" customHeight="1">
      <c r="A178" s="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18"/>
      <c r="AD178" s="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18"/>
    </row>
    <row r="179" spans="1:105" ht="14.25" customHeight="1">
      <c r="A179" s="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18"/>
      <c r="AD179" s="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18"/>
    </row>
    <row r="180" spans="1:105" ht="14.25" customHeight="1">
      <c r="A180" s="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18"/>
      <c r="AD180" s="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18"/>
    </row>
    <row r="181" spans="1:105" ht="14.25" customHeight="1">
      <c r="A181" s="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18"/>
      <c r="AD181" s="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18"/>
    </row>
    <row r="182" spans="1:105" ht="14.25" customHeight="1">
      <c r="A182" s="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18"/>
      <c r="AD182" s="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18"/>
    </row>
    <row r="183" spans="1:105" ht="14.25" customHeight="1">
      <c r="A183" s="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18"/>
      <c r="AD183" s="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18"/>
    </row>
    <row r="184" spans="1:105" ht="14.25" customHeight="1">
      <c r="A184" s="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18"/>
      <c r="AD184" s="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18"/>
    </row>
    <row r="185" spans="1:105" ht="14.25" customHeight="1">
      <c r="A185" s="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18"/>
      <c r="AD185" s="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18"/>
    </row>
    <row r="186" spans="1:105" ht="5.25" customHeight="1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3"/>
      <c r="AD186" s="21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3"/>
    </row>
    <row r="187" spans="1:105" ht="7.5" customHeight="1"/>
    <row r="188" spans="1:105" ht="22">
      <c r="A188" s="2" t="s">
        <v>0</v>
      </c>
      <c r="M188" s="64">
        <f>$M$2</f>
        <v>2</v>
      </c>
      <c r="N188" s="64"/>
      <c r="AD188" s="3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25" t="str">
        <f>IF($BB$2="","",$BB$2)</f>
        <v/>
      </c>
      <c r="BC188" s="26"/>
      <c r="BD188" s="26"/>
      <c r="BE188" s="26"/>
      <c r="BF188" s="27"/>
      <c r="BG188" s="26">
        <f>$BG$2</f>
        <v>3159205</v>
      </c>
      <c r="BH188" s="26"/>
      <c r="BI188" s="26"/>
      <c r="BJ188" s="26"/>
      <c r="BK188" s="26"/>
      <c r="BL188" s="5"/>
      <c r="DA188" s="6"/>
    </row>
    <row r="189" spans="1:105" ht="7.5" customHeight="1">
      <c r="A189" s="7"/>
      <c r="AD189" s="8"/>
      <c r="AE189" s="9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1"/>
      <c r="AQ189" s="9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2"/>
      <c r="DA189" s="6"/>
    </row>
    <row r="190" spans="1:105" ht="18">
      <c r="M190" s="28" t="s">
        <v>3</v>
      </c>
      <c r="N190" s="29"/>
      <c r="O190" s="30"/>
      <c r="P190" s="28" t="str">
        <f>IF($CB$2=1,"勘 定 店 名","店　　名")</f>
        <v>店　　名</v>
      </c>
      <c r="Q190" s="29"/>
      <c r="R190" s="29"/>
      <c r="S190" s="29"/>
      <c r="T190" s="30"/>
      <c r="U190" s="28" t="s">
        <v>4</v>
      </c>
      <c r="V190" s="29"/>
      <c r="W190" s="29"/>
      <c r="X190" s="29"/>
      <c r="Y190" s="30"/>
      <c r="Z190" s="28" t="s">
        <v>5</v>
      </c>
      <c r="AA190" s="29"/>
      <c r="AB190" s="30"/>
      <c r="AD190" s="8"/>
      <c r="AE190" s="13"/>
      <c r="AF190" s="1" t="s">
        <v>6</v>
      </c>
      <c r="AJ190" s="31">
        <f>$AJ$4</f>
        <v>45860</v>
      </c>
      <c r="AK190" s="31"/>
      <c r="AL190" s="31"/>
      <c r="AM190" s="31"/>
      <c r="AN190" s="31"/>
      <c r="AO190" s="31"/>
      <c r="AP190" s="32"/>
      <c r="AQ190" s="13"/>
      <c r="AR190" s="1" t="s">
        <v>7</v>
      </c>
      <c r="AV190" s="33" t="str">
        <f>$AV$4</f>
        <v>埼玉県秩父郡小鹿野町両神薄字中原里248-2</v>
      </c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4"/>
      <c r="DA190" s="6"/>
    </row>
    <row r="191" spans="1:105" ht="7.5" customHeight="1">
      <c r="M191" s="39" t="str">
        <f>IF($M$5="","",$M$5)</f>
        <v/>
      </c>
      <c r="N191" s="40"/>
      <c r="O191" s="56"/>
      <c r="P191" s="39" t="str">
        <f>IF($P$5="","",$P$5)</f>
        <v/>
      </c>
      <c r="Q191" s="40"/>
      <c r="R191" s="40"/>
      <c r="S191" s="40"/>
      <c r="T191" s="56"/>
      <c r="U191" s="39" t="str">
        <f>IF($U$5="","",$U$5)</f>
        <v/>
      </c>
      <c r="V191" s="40"/>
      <c r="W191" s="40"/>
      <c r="X191" s="40"/>
      <c r="Y191" s="56"/>
      <c r="Z191" s="39" t="str">
        <f>IF($Z$5="","",$Z$5)</f>
        <v/>
      </c>
      <c r="AA191" s="40"/>
      <c r="AB191" s="56"/>
      <c r="AD191" s="8"/>
      <c r="AE191" s="14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6"/>
      <c r="AQ191" s="14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7"/>
      <c r="DA191" s="6"/>
    </row>
    <row r="192" spans="1:105" ht="7.5" customHeight="1">
      <c r="M192" s="58"/>
      <c r="N192" s="59"/>
      <c r="O192" s="60"/>
      <c r="P192" s="58"/>
      <c r="Q192" s="59"/>
      <c r="R192" s="59"/>
      <c r="S192" s="59"/>
      <c r="T192" s="60"/>
      <c r="U192" s="58"/>
      <c r="V192" s="59"/>
      <c r="W192" s="59"/>
      <c r="X192" s="59"/>
      <c r="Y192" s="60"/>
      <c r="Z192" s="58"/>
      <c r="AA192" s="59"/>
      <c r="AB192" s="60"/>
      <c r="AD192" s="8"/>
      <c r="BL192" s="18"/>
      <c r="DA192" s="6"/>
    </row>
    <row r="193" spans="1:105" ht="7.5" customHeight="1">
      <c r="M193" s="58"/>
      <c r="N193" s="59"/>
      <c r="O193" s="60"/>
      <c r="P193" s="58"/>
      <c r="Q193" s="59"/>
      <c r="R193" s="59"/>
      <c r="S193" s="59"/>
      <c r="T193" s="60"/>
      <c r="U193" s="58"/>
      <c r="V193" s="59"/>
      <c r="W193" s="59"/>
      <c r="X193" s="59"/>
      <c r="Y193" s="60"/>
      <c r="Z193" s="58"/>
      <c r="AA193" s="59"/>
      <c r="AB193" s="60"/>
      <c r="AD193" s="8"/>
      <c r="BL193" s="18"/>
      <c r="DA193" s="6"/>
    </row>
    <row r="194" spans="1:105" ht="18">
      <c r="M194" s="58"/>
      <c r="N194" s="59"/>
      <c r="O194" s="60"/>
      <c r="P194" s="58"/>
      <c r="Q194" s="59"/>
      <c r="R194" s="59"/>
      <c r="S194" s="59"/>
      <c r="T194" s="60"/>
      <c r="U194" s="58"/>
      <c r="V194" s="59"/>
      <c r="W194" s="59"/>
      <c r="X194" s="59"/>
      <c r="Y194" s="60"/>
      <c r="Z194" s="58"/>
      <c r="AA194" s="59"/>
      <c r="AB194" s="60"/>
      <c r="AD194" s="8"/>
      <c r="BL194" s="18"/>
      <c r="DA194" s="6"/>
    </row>
    <row r="195" spans="1:105" ht="18">
      <c r="B195" s="61">
        <f>$B$9</f>
        <v>45860</v>
      </c>
      <c r="C195" s="61"/>
      <c r="D195" s="61"/>
      <c r="E195" s="61"/>
      <c r="F195" s="61"/>
      <c r="G195" s="61"/>
      <c r="H195" s="61"/>
      <c r="I195" s="61"/>
      <c r="J195" s="61"/>
      <c r="M195" s="42"/>
      <c r="N195" s="43"/>
      <c r="O195" s="57"/>
      <c r="P195" s="42"/>
      <c r="Q195" s="43"/>
      <c r="R195" s="43"/>
      <c r="S195" s="43"/>
      <c r="T195" s="57"/>
      <c r="U195" s="42"/>
      <c r="V195" s="43"/>
      <c r="W195" s="43"/>
      <c r="X195" s="43"/>
      <c r="Y195" s="57"/>
      <c r="Z195" s="42"/>
      <c r="AA195" s="43"/>
      <c r="AB195" s="57"/>
      <c r="AD195" s="8"/>
      <c r="AE195" s="19" t="s">
        <v>64</v>
      </c>
      <c r="AF195" s="35"/>
      <c r="AG195" s="36"/>
      <c r="AH195" s="36"/>
      <c r="AI195" s="36"/>
      <c r="AJ195" s="36"/>
      <c r="AK195" s="36"/>
      <c r="AL195" s="36"/>
      <c r="AM195" s="36"/>
      <c r="AN195" s="36"/>
      <c r="AV195" s="19" t="s">
        <v>65</v>
      </c>
      <c r="AW195" s="35"/>
      <c r="AX195" s="36"/>
      <c r="AY195" s="36"/>
      <c r="AZ195" s="36"/>
      <c r="BA195" s="36"/>
      <c r="BB195" s="36"/>
      <c r="BC195" s="36"/>
      <c r="BD195" s="36"/>
      <c r="BE195" s="36"/>
      <c r="BL195" s="18"/>
      <c r="DA195" s="6"/>
    </row>
    <row r="196" spans="1:105" ht="14.25" customHeight="1">
      <c r="AD196" s="8"/>
      <c r="AE196" s="37" t="s">
        <v>16</v>
      </c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V196" s="37" t="s">
        <v>16</v>
      </c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18"/>
      <c r="DA196" s="6"/>
    </row>
    <row r="197" spans="1:105" ht="14.25" customHeight="1">
      <c r="A197" s="39" t="str">
        <f>$A$11</f>
        <v>CIF</v>
      </c>
      <c r="B197" s="40"/>
      <c r="C197" s="40"/>
      <c r="D197" s="41"/>
      <c r="E197" s="45" t="str">
        <f>IF($E$11="","",$E$11)</f>
        <v/>
      </c>
      <c r="F197" s="40"/>
      <c r="G197" s="40"/>
      <c r="H197" s="40"/>
      <c r="I197" s="40"/>
      <c r="J197" s="40"/>
      <c r="K197" s="40"/>
      <c r="L197" s="40"/>
      <c r="M197" s="41"/>
      <c r="N197" s="45" t="str">
        <f>$N$11</f>
        <v>勘定店番</v>
      </c>
      <c r="O197" s="40"/>
      <c r="P197" s="40"/>
      <c r="Q197" s="40"/>
      <c r="R197" s="40"/>
      <c r="S197" s="41"/>
      <c r="T197" s="47" t="str">
        <f>IF($T$11="","",$T$11)</f>
        <v/>
      </c>
      <c r="U197" s="48"/>
      <c r="V197" s="48"/>
      <c r="W197" s="48"/>
      <c r="X197" s="48"/>
      <c r="Y197" s="48"/>
      <c r="Z197" s="48"/>
      <c r="AA197" s="48"/>
      <c r="AB197" s="49"/>
      <c r="AD197" s="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18"/>
      <c r="DA197" s="6"/>
    </row>
    <row r="198" spans="1:105" ht="14.25" customHeight="1">
      <c r="A198" s="42"/>
      <c r="B198" s="43"/>
      <c r="C198" s="43"/>
      <c r="D198" s="44"/>
      <c r="E198" s="46"/>
      <c r="F198" s="43"/>
      <c r="G198" s="43"/>
      <c r="H198" s="43"/>
      <c r="I198" s="43"/>
      <c r="J198" s="43"/>
      <c r="K198" s="43"/>
      <c r="L198" s="43"/>
      <c r="M198" s="44"/>
      <c r="N198" s="53" t="str">
        <f>$N$12</f>
        <v>(勘定移管レス先のみ)</v>
      </c>
      <c r="O198" s="54"/>
      <c r="P198" s="54"/>
      <c r="Q198" s="54"/>
      <c r="R198" s="54"/>
      <c r="S198" s="55"/>
      <c r="T198" s="50"/>
      <c r="U198" s="51"/>
      <c r="V198" s="51"/>
      <c r="W198" s="51"/>
      <c r="X198" s="51"/>
      <c r="Y198" s="51"/>
      <c r="Z198" s="51"/>
      <c r="AA198" s="51"/>
      <c r="AB198" s="52"/>
      <c r="AD198" s="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18"/>
      <c r="DA198" s="6"/>
    </row>
    <row r="199" spans="1:105" ht="14.25" customHeight="1">
      <c r="A199" s="39" t="str">
        <f>$A$13</f>
        <v>債務者名</v>
      </c>
      <c r="B199" s="40"/>
      <c r="C199" s="40"/>
      <c r="D199" s="41"/>
      <c r="E199" s="45" t="str">
        <f>IF($E$13="","",$E$13)</f>
        <v/>
      </c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56"/>
      <c r="AD199" s="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18"/>
      <c r="DA199" s="6"/>
    </row>
    <row r="200" spans="1:105" ht="14.25" customHeight="1">
      <c r="A200" s="42"/>
      <c r="B200" s="43"/>
      <c r="C200" s="43"/>
      <c r="D200" s="44"/>
      <c r="E200" s="46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57"/>
      <c r="AD200" s="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18"/>
      <c r="DA200" s="6"/>
    </row>
    <row r="201" spans="1:105" ht="14.25" customHeight="1">
      <c r="A201" s="3"/>
      <c r="B201" s="4" t="s">
        <v>24</v>
      </c>
      <c r="C201" s="4"/>
      <c r="D201" s="4"/>
      <c r="E201" s="4"/>
      <c r="F201" s="4" t="s">
        <v>25</v>
      </c>
      <c r="G201" s="4"/>
      <c r="H201" s="4" t="s">
        <v>26</v>
      </c>
      <c r="I201" s="4"/>
      <c r="J201" s="4" t="s">
        <v>27</v>
      </c>
      <c r="K201" s="4"/>
      <c r="L201" s="4" t="s">
        <v>26</v>
      </c>
      <c r="M201" s="4" t="s">
        <v>28</v>
      </c>
      <c r="N201" s="4"/>
      <c r="O201" s="4"/>
      <c r="P201" s="4" t="s">
        <v>29</v>
      </c>
      <c r="Q201" s="20" t="s">
        <v>30</v>
      </c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D201" s="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18"/>
      <c r="DA201" s="6"/>
    </row>
    <row r="202" spans="1:105" ht="14.25" customHeight="1">
      <c r="A202" s="8"/>
      <c r="AB202" s="18"/>
      <c r="AD202" s="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18"/>
      <c r="DA202" s="6"/>
    </row>
    <row r="203" spans="1:105" ht="14.25" customHeight="1">
      <c r="A203" s="8"/>
      <c r="B203" s="1" t="s">
        <v>33</v>
      </c>
      <c r="G203" s="1" t="s">
        <v>34</v>
      </c>
      <c r="AB203" s="18"/>
      <c r="AD203" s="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18"/>
      <c r="DA203" s="6"/>
    </row>
    <row r="204" spans="1:105" ht="14.25" customHeight="1">
      <c r="A204" s="8"/>
      <c r="G204" s="1" t="s">
        <v>36</v>
      </c>
      <c r="AB204" s="18"/>
      <c r="AD204" s="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18"/>
      <c r="DA204" s="6"/>
    </row>
    <row r="205" spans="1:105" ht="14.25" customHeight="1">
      <c r="A205" s="8"/>
      <c r="AB205" s="18"/>
      <c r="AD205" s="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18"/>
      <c r="DA205" s="6"/>
    </row>
    <row r="206" spans="1:105" ht="14.25" customHeight="1">
      <c r="A206" s="8"/>
      <c r="B206" s="37" t="s">
        <v>39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18"/>
      <c r="AD206" s="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18"/>
      <c r="DA206" s="6"/>
    </row>
    <row r="207" spans="1:105" ht="14.25" customHeight="1">
      <c r="A207" s="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18"/>
      <c r="AD207" s="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18"/>
      <c r="DA207" s="6"/>
    </row>
    <row r="208" spans="1:105" ht="14.25" customHeight="1">
      <c r="A208" s="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18"/>
      <c r="AD208" s="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18"/>
      <c r="DA208" s="6"/>
    </row>
    <row r="209" spans="1:105" ht="14.25" customHeight="1">
      <c r="A209" s="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18"/>
      <c r="AD209" s="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18"/>
      <c r="DA209" s="6"/>
    </row>
    <row r="210" spans="1:105" ht="14.25" customHeight="1">
      <c r="A210" s="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18"/>
      <c r="AD210" s="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18"/>
      <c r="DA210" s="6"/>
    </row>
    <row r="211" spans="1:105" ht="14.25" customHeight="1">
      <c r="A211" s="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18"/>
      <c r="AD211" s="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18"/>
      <c r="DA211" s="6"/>
    </row>
    <row r="212" spans="1:105" ht="4.5" customHeight="1">
      <c r="A212" s="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18"/>
      <c r="AD212" s="8"/>
      <c r="BL212" s="18"/>
      <c r="DA212" s="6"/>
    </row>
    <row r="213" spans="1:105" ht="13.5" customHeight="1">
      <c r="A213" s="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18"/>
      <c r="AD213" s="8"/>
      <c r="AE213" s="19" t="s">
        <v>66</v>
      </c>
      <c r="AF213" s="35"/>
      <c r="AG213" s="36"/>
      <c r="AH213" s="36"/>
      <c r="AI213" s="36"/>
      <c r="AJ213" s="36"/>
      <c r="AK213" s="36"/>
      <c r="AL213" s="36"/>
      <c r="AM213" s="36"/>
      <c r="AN213" s="36"/>
      <c r="AV213" s="19" t="s">
        <v>67</v>
      </c>
      <c r="AW213" s="35"/>
      <c r="AX213" s="36"/>
      <c r="AY213" s="36"/>
      <c r="AZ213" s="36"/>
      <c r="BA213" s="36"/>
      <c r="BB213" s="36"/>
      <c r="BC213" s="36"/>
      <c r="BD213" s="36"/>
      <c r="BE213" s="36"/>
      <c r="BL213" s="18"/>
      <c r="DA213" s="6"/>
    </row>
    <row r="214" spans="1:105" ht="14.25" customHeight="1">
      <c r="A214" s="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18"/>
      <c r="AD214" s="8"/>
      <c r="AE214" s="37" t="s">
        <v>16</v>
      </c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V214" s="37" t="s">
        <v>16</v>
      </c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18"/>
    </row>
    <row r="215" spans="1:105" ht="14.25" customHeight="1">
      <c r="A215" s="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18"/>
      <c r="AD215" s="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18"/>
    </row>
    <row r="216" spans="1:105" ht="14.25" customHeight="1">
      <c r="A216" s="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18"/>
      <c r="AD216" s="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18"/>
    </row>
    <row r="217" spans="1:105" ht="14.25" customHeight="1">
      <c r="A217" s="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18"/>
      <c r="AD217" s="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18"/>
    </row>
    <row r="218" spans="1:105" ht="14.25" customHeight="1">
      <c r="A218" s="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18"/>
      <c r="AD218" s="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18"/>
    </row>
    <row r="219" spans="1:105" ht="14.25" customHeight="1">
      <c r="A219" s="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18"/>
      <c r="AD219" s="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18"/>
    </row>
    <row r="220" spans="1:105" ht="14.25" customHeight="1">
      <c r="A220" s="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18"/>
      <c r="AD220" s="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18"/>
    </row>
    <row r="221" spans="1:105" ht="14.25" customHeight="1">
      <c r="A221" s="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18"/>
      <c r="AD221" s="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18"/>
    </row>
    <row r="222" spans="1:105" ht="14.25" customHeight="1">
      <c r="A222" s="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18"/>
      <c r="AD222" s="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18"/>
    </row>
    <row r="223" spans="1:105" ht="14.25" customHeight="1">
      <c r="A223" s="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18"/>
      <c r="AD223" s="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18"/>
    </row>
    <row r="224" spans="1:105" ht="14.25" customHeight="1">
      <c r="A224" s="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18"/>
      <c r="AD224" s="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18"/>
    </row>
    <row r="225" spans="1:64" ht="14.25" customHeight="1">
      <c r="A225" s="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18"/>
      <c r="AD225" s="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18"/>
    </row>
    <row r="226" spans="1:64" ht="14.25" customHeight="1">
      <c r="A226" s="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18"/>
      <c r="AD226" s="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18"/>
    </row>
    <row r="227" spans="1:64" ht="14.25" customHeight="1">
      <c r="A227" s="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18"/>
      <c r="AD227" s="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18"/>
    </row>
    <row r="228" spans="1:64" ht="14.25" customHeight="1">
      <c r="A228" s="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18"/>
      <c r="AD228" s="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18"/>
    </row>
    <row r="229" spans="1:64" ht="14.25" customHeight="1">
      <c r="A229" s="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18"/>
      <c r="AD229" s="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18"/>
    </row>
    <row r="230" spans="1:64" ht="4.5" customHeight="1">
      <c r="A230" s="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18"/>
      <c r="AD230" s="8"/>
      <c r="BL230" s="18"/>
    </row>
    <row r="231" spans="1:64" ht="13.5" customHeight="1">
      <c r="A231" s="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18"/>
      <c r="AD231" s="8"/>
      <c r="AE231" s="19" t="s">
        <v>68</v>
      </c>
      <c r="AF231" s="35"/>
      <c r="AG231" s="36"/>
      <c r="AH231" s="36"/>
      <c r="AI231" s="36"/>
      <c r="AJ231" s="36"/>
      <c r="AK231" s="36"/>
      <c r="AL231" s="36"/>
      <c r="AM231" s="36"/>
      <c r="AN231" s="36"/>
      <c r="AV231" s="19" t="s">
        <v>69</v>
      </c>
      <c r="AW231" s="35"/>
      <c r="AX231" s="36"/>
      <c r="AY231" s="36"/>
      <c r="AZ231" s="36"/>
      <c r="BA231" s="36"/>
      <c r="BB231" s="36"/>
      <c r="BC231" s="36"/>
      <c r="BD231" s="36"/>
      <c r="BE231" s="36"/>
      <c r="BL231" s="18"/>
    </row>
    <row r="232" spans="1:64" ht="14.25" customHeight="1">
      <c r="A232" s="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18"/>
      <c r="AD232" s="8"/>
      <c r="AE232" s="37" t="s">
        <v>16</v>
      </c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V232" s="37" t="s">
        <v>16</v>
      </c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18"/>
    </row>
    <row r="233" spans="1:64" ht="14.25" customHeight="1">
      <c r="A233" s="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18"/>
      <c r="AD233" s="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18"/>
    </row>
    <row r="234" spans="1:64" ht="14.25" customHeight="1">
      <c r="A234" s="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18"/>
      <c r="AD234" s="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18"/>
    </row>
    <row r="235" spans="1:64" ht="14.25" customHeight="1">
      <c r="A235" s="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18"/>
      <c r="AD235" s="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18"/>
    </row>
    <row r="236" spans="1:64" ht="14.25" customHeight="1">
      <c r="A236" s="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18"/>
      <c r="AD236" s="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18"/>
    </row>
    <row r="237" spans="1:64" ht="14.25" customHeight="1">
      <c r="A237" s="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18"/>
      <c r="AD237" s="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18"/>
    </row>
    <row r="238" spans="1:64" ht="14.25" customHeight="1">
      <c r="A238" s="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18"/>
      <c r="AD238" s="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18"/>
    </row>
    <row r="239" spans="1:64" ht="14.25" customHeight="1">
      <c r="A239" s="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18"/>
      <c r="AD239" s="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18"/>
    </row>
    <row r="240" spans="1:64" ht="14.25" customHeight="1">
      <c r="A240" s="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18"/>
      <c r="AD240" s="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18"/>
    </row>
    <row r="241" spans="1:105" ht="14.25" customHeight="1">
      <c r="A241" s="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18"/>
      <c r="AD241" s="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18"/>
    </row>
    <row r="242" spans="1:105" ht="14.25" customHeight="1">
      <c r="A242" s="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18"/>
      <c r="AD242" s="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18"/>
    </row>
    <row r="243" spans="1:105" ht="14.25" customHeight="1">
      <c r="A243" s="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18"/>
      <c r="AD243" s="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18"/>
    </row>
    <row r="244" spans="1:105" ht="14.25" customHeight="1">
      <c r="A244" s="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18"/>
      <c r="AD244" s="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18"/>
    </row>
    <row r="245" spans="1:105" ht="14.25" customHeight="1">
      <c r="A245" s="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18"/>
      <c r="AD245" s="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18"/>
    </row>
    <row r="246" spans="1:105" ht="14.25" customHeight="1">
      <c r="A246" s="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18"/>
      <c r="AD246" s="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18"/>
    </row>
    <row r="247" spans="1:105" ht="14.25" customHeight="1">
      <c r="A247" s="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18"/>
      <c r="AD247" s="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18"/>
    </row>
    <row r="248" spans="1:105" ht="5.25" customHeight="1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3"/>
      <c r="AD248" s="21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3"/>
    </row>
    <row r="249" spans="1:105" ht="7.5" customHeight="1"/>
    <row r="250" spans="1:105" ht="22">
      <c r="A250" s="2" t="s">
        <v>0</v>
      </c>
      <c r="M250" s="65">
        <f>$M$2</f>
        <v>2</v>
      </c>
      <c r="N250" s="65"/>
      <c r="AD250" s="3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25" t="str">
        <f>IF($BB$2="","",$BB$2)</f>
        <v/>
      </c>
      <c r="BC250" s="26"/>
      <c r="BD250" s="26"/>
      <c r="BE250" s="26"/>
      <c r="BF250" s="27"/>
      <c r="BG250" s="26">
        <f>$BG$2</f>
        <v>3159205</v>
      </c>
      <c r="BH250" s="26"/>
      <c r="BI250" s="26"/>
      <c r="BJ250" s="26"/>
      <c r="BK250" s="26"/>
      <c r="BL250" s="5"/>
      <c r="DA250" s="6"/>
    </row>
    <row r="251" spans="1:105" ht="7.5" customHeight="1">
      <c r="A251" s="7"/>
      <c r="AD251" s="8"/>
      <c r="AE251" s="9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1"/>
      <c r="AQ251" s="9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2"/>
      <c r="DA251" s="6"/>
    </row>
    <row r="252" spans="1:105" ht="18">
      <c r="M252" s="28" t="s">
        <v>3</v>
      </c>
      <c r="N252" s="29"/>
      <c r="O252" s="30"/>
      <c r="P252" s="28" t="str">
        <f>IF($CB$2=1,"勘 定 店 名","店　　名")</f>
        <v>店　　名</v>
      </c>
      <c r="Q252" s="29"/>
      <c r="R252" s="29"/>
      <c r="S252" s="29"/>
      <c r="T252" s="30"/>
      <c r="U252" s="28" t="s">
        <v>4</v>
      </c>
      <c r="V252" s="29"/>
      <c r="W252" s="29"/>
      <c r="X252" s="29"/>
      <c r="Y252" s="30"/>
      <c r="Z252" s="28" t="s">
        <v>5</v>
      </c>
      <c r="AA252" s="29"/>
      <c r="AB252" s="30"/>
      <c r="AD252" s="8"/>
      <c r="AE252" s="13"/>
      <c r="AF252" s="1" t="s">
        <v>6</v>
      </c>
      <c r="AJ252" s="31">
        <f>$AJ$4</f>
        <v>45860</v>
      </c>
      <c r="AK252" s="31"/>
      <c r="AL252" s="31"/>
      <c r="AM252" s="31"/>
      <c r="AN252" s="31"/>
      <c r="AO252" s="31"/>
      <c r="AP252" s="32"/>
      <c r="AQ252" s="13"/>
      <c r="AR252" s="1" t="s">
        <v>7</v>
      </c>
      <c r="AV252" s="33" t="str">
        <f>$AV$4</f>
        <v>埼玉県秩父郡小鹿野町両神薄字中原里248-2</v>
      </c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4"/>
      <c r="DA252" s="6"/>
    </row>
    <row r="253" spans="1:105" ht="7.5" customHeight="1">
      <c r="M253" s="39" t="str">
        <f>IF($M$5="","",$M$5)</f>
        <v/>
      </c>
      <c r="N253" s="40"/>
      <c r="O253" s="56"/>
      <c r="P253" s="39" t="str">
        <f>IF($P$5="","",$P$5)</f>
        <v/>
      </c>
      <c r="Q253" s="40"/>
      <c r="R253" s="40"/>
      <c r="S253" s="40"/>
      <c r="T253" s="56"/>
      <c r="U253" s="39" t="str">
        <f>IF($U$5="","",$U$5)</f>
        <v/>
      </c>
      <c r="V253" s="40"/>
      <c r="W253" s="40"/>
      <c r="X253" s="40"/>
      <c r="Y253" s="56"/>
      <c r="Z253" s="39" t="str">
        <f>IF($Z$5="","",$Z$5)</f>
        <v/>
      </c>
      <c r="AA253" s="40"/>
      <c r="AB253" s="56"/>
      <c r="AD253" s="8"/>
      <c r="AE253" s="14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6"/>
      <c r="AQ253" s="14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7"/>
      <c r="DA253" s="6"/>
    </row>
    <row r="254" spans="1:105" ht="7.5" customHeight="1">
      <c r="M254" s="58"/>
      <c r="N254" s="59"/>
      <c r="O254" s="60"/>
      <c r="P254" s="58"/>
      <c r="Q254" s="59"/>
      <c r="R254" s="59"/>
      <c r="S254" s="59"/>
      <c r="T254" s="60"/>
      <c r="U254" s="58"/>
      <c r="V254" s="59"/>
      <c r="W254" s="59"/>
      <c r="X254" s="59"/>
      <c r="Y254" s="60"/>
      <c r="Z254" s="58"/>
      <c r="AA254" s="59"/>
      <c r="AB254" s="60"/>
      <c r="AD254" s="8"/>
      <c r="BL254" s="18"/>
      <c r="DA254" s="6"/>
    </row>
    <row r="255" spans="1:105" ht="7.5" customHeight="1">
      <c r="M255" s="58"/>
      <c r="N255" s="59"/>
      <c r="O255" s="60"/>
      <c r="P255" s="58"/>
      <c r="Q255" s="59"/>
      <c r="R255" s="59"/>
      <c r="S255" s="59"/>
      <c r="T255" s="60"/>
      <c r="U255" s="58"/>
      <c r="V255" s="59"/>
      <c r="W255" s="59"/>
      <c r="X255" s="59"/>
      <c r="Y255" s="60"/>
      <c r="Z255" s="58"/>
      <c r="AA255" s="59"/>
      <c r="AB255" s="60"/>
      <c r="AD255" s="8"/>
      <c r="BL255" s="18"/>
      <c r="DA255" s="6"/>
    </row>
    <row r="256" spans="1:105" ht="18">
      <c r="M256" s="58"/>
      <c r="N256" s="59"/>
      <c r="O256" s="60"/>
      <c r="P256" s="58"/>
      <c r="Q256" s="59"/>
      <c r="R256" s="59"/>
      <c r="S256" s="59"/>
      <c r="T256" s="60"/>
      <c r="U256" s="58"/>
      <c r="V256" s="59"/>
      <c r="W256" s="59"/>
      <c r="X256" s="59"/>
      <c r="Y256" s="60"/>
      <c r="Z256" s="58"/>
      <c r="AA256" s="59"/>
      <c r="AB256" s="60"/>
      <c r="AD256" s="8"/>
      <c r="BL256" s="18"/>
      <c r="DA256" s="6"/>
    </row>
    <row r="257" spans="1:105" ht="18">
      <c r="B257" s="61">
        <f>$B$9</f>
        <v>45860</v>
      </c>
      <c r="C257" s="61"/>
      <c r="D257" s="61"/>
      <c r="E257" s="61"/>
      <c r="F257" s="61"/>
      <c r="G257" s="61"/>
      <c r="H257" s="61"/>
      <c r="I257" s="61"/>
      <c r="J257" s="61"/>
      <c r="M257" s="42"/>
      <c r="N257" s="43"/>
      <c r="O257" s="57"/>
      <c r="P257" s="42"/>
      <c r="Q257" s="43"/>
      <c r="R257" s="43"/>
      <c r="S257" s="43"/>
      <c r="T257" s="57"/>
      <c r="U257" s="42"/>
      <c r="V257" s="43"/>
      <c r="W257" s="43"/>
      <c r="X257" s="43"/>
      <c r="Y257" s="57"/>
      <c r="Z257" s="42"/>
      <c r="AA257" s="43"/>
      <c r="AB257" s="57"/>
      <c r="AD257" s="8"/>
      <c r="AE257" s="19" t="s">
        <v>70</v>
      </c>
      <c r="AF257" s="35"/>
      <c r="AG257" s="36"/>
      <c r="AH257" s="36"/>
      <c r="AI257" s="36"/>
      <c r="AJ257" s="36"/>
      <c r="AK257" s="36"/>
      <c r="AL257" s="36"/>
      <c r="AM257" s="36"/>
      <c r="AN257" s="36"/>
      <c r="AV257" s="19" t="s">
        <v>71</v>
      </c>
      <c r="AW257" s="35"/>
      <c r="AX257" s="36"/>
      <c r="AY257" s="36"/>
      <c r="AZ257" s="36"/>
      <c r="BA257" s="36"/>
      <c r="BB257" s="36"/>
      <c r="BC257" s="36"/>
      <c r="BD257" s="36"/>
      <c r="BE257" s="36"/>
      <c r="BL257" s="18"/>
      <c r="DA257" s="6"/>
    </row>
    <row r="258" spans="1:105" ht="14.25" customHeight="1">
      <c r="AD258" s="8"/>
      <c r="AE258" s="37" t="s">
        <v>16</v>
      </c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V258" s="37" t="s">
        <v>16</v>
      </c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18"/>
      <c r="DA258" s="6"/>
    </row>
    <row r="259" spans="1:105" ht="14.25" customHeight="1">
      <c r="A259" s="39" t="str">
        <f>$A$11</f>
        <v>CIF</v>
      </c>
      <c r="B259" s="40"/>
      <c r="C259" s="40"/>
      <c r="D259" s="41"/>
      <c r="E259" s="45" t="str">
        <f>IF($E$11="","",$E$11)</f>
        <v/>
      </c>
      <c r="F259" s="40"/>
      <c r="G259" s="40"/>
      <c r="H259" s="40"/>
      <c r="I259" s="40"/>
      <c r="J259" s="40"/>
      <c r="K259" s="40"/>
      <c r="L259" s="40"/>
      <c r="M259" s="41"/>
      <c r="N259" s="45" t="str">
        <f>$N$11</f>
        <v>勘定店番</v>
      </c>
      <c r="O259" s="40"/>
      <c r="P259" s="40"/>
      <c r="Q259" s="40"/>
      <c r="R259" s="40"/>
      <c r="S259" s="41"/>
      <c r="T259" s="47" t="str">
        <f>IF($T$11="","",$T$11)</f>
        <v/>
      </c>
      <c r="U259" s="48"/>
      <c r="V259" s="48"/>
      <c r="W259" s="48"/>
      <c r="X259" s="48"/>
      <c r="Y259" s="48"/>
      <c r="Z259" s="48"/>
      <c r="AA259" s="48"/>
      <c r="AB259" s="49"/>
      <c r="AD259" s="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18"/>
      <c r="DA259" s="6"/>
    </row>
    <row r="260" spans="1:105" ht="14.25" customHeight="1">
      <c r="A260" s="42"/>
      <c r="B260" s="43"/>
      <c r="C260" s="43"/>
      <c r="D260" s="44"/>
      <c r="E260" s="46"/>
      <c r="F260" s="43"/>
      <c r="G260" s="43"/>
      <c r="H260" s="43"/>
      <c r="I260" s="43"/>
      <c r="J260" s="43"/>
      <c r="K260" s="43"/>
      <c r="L260" s="43"/>
      <c r="M260" s="44"/>
      <c r="N260" s="53" t="str">
        <f>$N$12</f>
        <v>(勘定移管レス先のみ)</v>
      </c>
      <c r="O260" s="54"/>
      <c r="P260" s="54"/>
      <c r="Q260" s="54"/>
      <c r="R260" s="54"/>
      <c r="S260" s="55"/>
      <c r="T260" s="50"/>
      <c r="U260" s="51"/>
      <c r="V260" s="51"/>
      <c r="W260" s="51"/>
      <c r="X260" s="51"/>
      <c r="Y260" s="51"/>
      <c r="Z260" s="51"/>
      <c r="AA260" s="51"/>
      <c r="AB260" s="52"/>
      <c r="AD260" s="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18"/>
      <c r="DA260" s="6"/>
    </row>
    <row r="261" spans="1:105" ht="14.25" customHeight="1">
      <c r="A261" s="39" t="str">
        <f>$A$13</f>
        <v>債務者名</v>
      </c>
      <c r="B261" s="40"/>
      <c r="C261" s="40"/>
      <c r="D261" s="41"/>
      <c r="E261" s="45" t="str">
        <f>IF($E$13="","",$E$13)</f>
        <v/>
      </c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56"/>
      <c r="AD261" s="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18"/>
      <c r="DA261" s="6"/>
    </row>
    <row r="262" spans="1:105" ht="14.25" customHeight="1">
      <c r="A262" s="42"/>
      <c r="B262" s="43"/>
      <c r="C262" s="43"/>
      <c r="D262" s="44"/>
      <c r="E262" s="46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57"/>
      <c r="AD262" s="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18"/>
      <c r="DA262" s="6"/>
    </row>
    <row r="263" spans="1:105" ht="14.25" customHeight="1">
      <c r="A263" s="3"/>
      <c r="B263" s="4" t="s">
        <v>24</v>
      </c>
      <c r="C263" s="4"/>
      <c r="D263" s="4"/>
      <c r="E263" s="4"/>
      <c r="F263" s="4" t="s">
        <v>25</v>
      </c>
      <c r="G263" s="4"/>
      <c r="H263" s="4" t="s">
        <v>26</v>
      </c>
      <c r="I263" s="4"/>
      <c r="J263" s="4" t="s">
        <v>27</v>
      </c>
      <c r="K263" s="4"/>
      <c r="L263" s="4" t="s">
        <v>26</v>
      </c>
      <c r="M263" s="4" t="s">
        <v>28</v>
      </c>
      <c r="N263" s="4"/>
      <c r="O263" s="4"/>
      <c r="P263" s="4" t="s">
        <v>29</v>
      </c>
      <c r="Q263" s="20" t="s">
        <v>30</v>
      </c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D263" s="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18"/>
      <c r="DA263" s="6"/>
    </row>
    <row r="264" spans="1:105" ht="14.25" customHeight="1">
      <c r="A264" s="8"/>
      <c r="AB264" s="18"/>
      <c r="AD264" s="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18"/>
      <c r="DA264" s="6"/>
    </row>
    <row r="265" spans="1:105" ht="14.25" customHeight="1">
      <c r="A265" s="8"/>
      <c r="B265" s="1" t="s">
        <v>33</v>
      </c>
      <c r="G265" s="1" t="s">
        <v>34</v>
      </c>
      <c r="AB265" s="18"/>
      <c r="AD265" s="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18"/>
      <c r="DA265" s="6"/>
    </row>
    <row r="266" spans="1:105" ht="14.25" customHeight="1">
      <c r="A266" s="8"/>
      <c r="G266" s="1" t="s">
        <v>36</v>
      </c>
      <c r="AB266" s="18"/>
      <c r="AD266" s="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18"/>
      <c r="DA266" s="6"/>
    </row>
    <row r="267" spans="1:105" ht="14.25" customHeight="1">
      <c r="A267" s="8"/>
      <c r="AB267" s="18"/>
      <c r="AD267" s="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18"/>
      <c r="DA267" s="6"/>
    </row>
    <row r="268" spans="1:105" ht="14.25" customHeight="1">
      <c r="A268" s="8"/>
      <c r="B268" s="37" t="s">
        <v>39</v>
      </c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18"/>
      <c r="AD268" s="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18"/>
      <c r="DA268" s="6"/>
    </row>
    <row r="269" spans="1:105" ht="14.25" customHeight="1">
      <c r="A269" s="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18"/>
      <c r="AD269" s="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18"/>
      <c r="DA269" s="6"/>
    </row>
    <row r="270" spans="1:105" ht="14.25" customHeight="1">
      <c r="A270" s="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18"/>
      <c r="AD270" s="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18"/>
      <c r="DA270" s="6"/>
    </row>
    <row r="271" spans="1:105" ht="14.25" customHeight="1">
      <c r="A271" s="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18"/>
      <c r="AD271" s="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18"/>
      <c r="DA271" s="6"/>
    </row>
    <row r="272" spans="1:105" ht="14.25" customHeight="1">
      <c r="A272" s="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18"/>
      <c r="AD272" s="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18"/>
      <c r="DA272" s="6"/>
    </row>
    <row r="273" spans="1:105" ht="14.25" customHeight="1">
      <c r="A273" s="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18"/>
      <c r="AD273" s="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18"/>
      <c r="DA273" s="6"/>
    </row>
    <row r="274" spans="1:105" ht="4.5" customHeight="1">
      <c r="A274" s="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18"/>
      <c r="AD274" s="8"/>
      <c r="BL274" s="18"/>
      <c r="DA274" s="6"/>
    </row>
    <row r="275" spans="1:105" ht="13.5" customHeight="1">
      <c r="A275" s="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18"/>
      <c r="AD275" s="8"/>
      <c r="AE275" s="19" t="s">
        <v>72</v>
      </c>
      <c r="AF275" s="35"/>
      <c r="AG275" s="36"/>
      <c r="AH275" s="36"/>
      <c r="AI275" s="36"/>
      <c r="AJ275" s="36"/>
      <c r="AK275" s="36"/>
      <c r="AL275" s="36"/>
      <c r="AM275" s="36"/>
      <c r="AN275" s="36"/>
      <c r="AV275" s="19" t="s">
        <v>73</v>
      </c>
      <c r="AW275" s="35"/>
      <c r="AX275" s="36"/>
      <c r="AY275" s="36"/>
      <c r="AZ275" s="36"/>
      <c r="BA275" s="36"/>
      <c r="BB275" s="36"/>
      <c r="BC275" s="36"/>
      <c r="BD275" s="36"/>
      <c r="BE275" s="36"/>
      <c r="BL275" s="18"/>
      <c r="DA275" s="6"/>
    </row>
    <row r="276" spans="1:105" ht="14.25" customHeight="1">
      <c r="A276" s="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18"/>
      <c r="AD276" s="8"/>
      <c r="AE276" s="37" t="s">
        <v>16</v>
      </c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V276" s="37" t="s">
        <v>16</v>
      </c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18"/>
    </row>
    <row r="277" spans="1:105" ht="14.25" customHeight="1">
      <c r="A277" s="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18"/>
      <c r="AD277" s="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18"/>
    </row>
    <row r="278" spans="1:105" ht="14.25" customHeight="1">
      <c r="A278" s="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18"/>
      <c r="AD278" s="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18"/>
    </row>
    <row r="279" spans="1:105" ht="14.25" customHeight="1">
      <c r="A279" s="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18"/>
      <c r="AD279" s="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18"/>
    </row>
    <row r="280" spans="1:105" ht="14.25" customHeight="1">
      <c r="A280" s="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18"/>
      <c r="AD280" s="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18"/>
    </row>
    <row r="281" spans="1:105" ht="14.25" customHeight="1">
      <c r="A281" s="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18"/>
      <c r="AD281" s="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18"/>
    </row>
    <row r="282" spans="1:105" ht="14.25" customHeight="1">
      <c r="A282" s="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18"/>
      <c r="AD282" s="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18"/>
    </row>
    <row r="283" spans="1:105" ht="14.25" customHeight="1">
      <c r="A283" s="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18"/>
      <c r="AD283" s="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18"/>
    </row>
    <row r="284" spans="1:105" ht="14.25" customHeight="1">
      <c r="A284" s="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18"/>
      <c r="AD284" s="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18"/>
    </row>
    <row r="285" spans="1:105" ht="14.25" customHeight="1">
      <c r="A285" s="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18"/>
      <c r="AD285" s="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18"/>
    </row>
    <row r="286" spans="1:105" ht="14.25" customHeight="1">
      <c r="A286" s="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18"/>
      <c r="AD286" s="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18"/>
    </row>
    <row r="287" spans="1:105" ht="14.25" customHeight="1">
      <c r="A287" s="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18"/>
      <c r="AD287" s="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18"/>
    </row>
    <row r="288" spans="1:105" ht="14.25" customHeight="1">
      <c r="A288" s="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18"/>
      <c r="AD288" s="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18"/>
    </row>
    <row r="289" spans="1:64" ht="14.25" customHeight="1">
      <c r="A289" s="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18"/>
      <c r="AD289" s="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18"/>
    </row>
    <row r="290" spans="1:64" ht="14.25" customHeight="1">
      <c r="A290" s="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18"/>
      <c r="AD290" s="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18"/>
    </row>
    <row r="291" spans="1:64" ht="14.25" customHeight="1">
      <c r="A291" s="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18"/>
      <c r="AD291" s="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18"/>
    </row>
    <row r="292" spans="1:64" ht="4.5" customHeight="1">
      <c r="A292" s="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18"/>
      <c r="AD292" s="8"/>
      <c r="BL292" s="18"/>
    </row>
    <row r="293" spans="1:64" ht="13.5" customHeight="1">
      <c r="A293" s="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18"/>
      <c r="AD293" s="8"/>
      <c r="AE293" s="19" t="s">
        <v>74</v>
      </c>
      <c r="AF293" s="35"/>
      <c r="AG293" s="36"/>
      <c r="AH293" s="36"/>
      <c r="AI293" s="36"/>
      <c r="AJ293" s="36"/>
      <c r="AK293" s="36"/>
      <c r="AL293" s="36"/>
      <c r="AM293" s="36"/>
      <c r="AN293" s="36"/>
      <c r="AV293" s="19" t="s">
        <v>75</v>
      </c>
      <c r="AW293" s="35"/>
      <c r="AX293" s="36"/>
      <c r="AY293" s="36"/>
      <c r="AZ293" s="36"/>
      <c r="BA293" s="36"/>
      <c r="BB293" s="36"/>
      <c r="BC293" s="36"/>
      <c r="BD293" s="36"/>
      <c r="BE293" s="36"/>
      <c r="BL293" s="18"/>
    </row>
    <row r="294" spans="1:64" ht="14.25" customHeight="1">
      <c r="A294" s="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18"/>
      <c r="AD294" s="8"/>
      <c r="AE294" s="37" t="s">
        <v>16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V294" s="37" t="s">
        <v>16</v>
      </c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18"/>
    </row>
    <row r="295" spans="1:64" ht="14.25" customHeight="1">
      <c r="A295" s="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18"/>
      <c r="AD295" s="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18"/>
    </row>
    <row r="296" spans="1:64" ht="14.25" customHeight="1">
      <c r="A296" s="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18"/>
      <c r="AD296" s="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18"/>
    </row>
    <row r="297" spans="1:64" ht="14.25" customHeight="1">
      <c r="A297" s="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18"/>
      <c r="AD297" s="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18"/>
    </row>
    <row r="298" spans="1:64" ht="14.25" customHeight="1">
      <c r="A298" s="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18"/>
      <c r="AD298" s="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18"/>
    </row>
    <row r="299" spans="1:64" ht="14.25" customHeight="1">
      <c r="A299" s="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18"/>
      <c r="AD299" s="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18"/>
    </row>
    <row r="300" spans="1:64" ht="14.25" customHeight="1">
      <c r="A300" s="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18"/>
      <c r="AD300" s="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18"/>
    </row>
    <row r="301" spans="1:64" ht="14.25" customHeight="1">
      <c r="A301" s="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18"/>
      <c r="AD301" s="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18"/>
    </row>
    <row r="302" spans="1:64" ht="14.25" customHeight="1">
      <c r="A302" s="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18"/>
      <c r="AD302" s="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18"/>
    </row>
    <row r="303" spans="1:64" ht="14.25" customHeight="1">
      <c r="A303" s="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18"/>
      <c r="AD303" s="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18"/>
    </row>
    <row r="304" spans="1:64" ht="14.25" customHeight="1">
      <c r="A304" s="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18"/>
      <c r="AD304" s="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18"/>
    </row>
    <row r="305" spans="1:105" ht="14.25" customHeight="1">
      <c r="A305" s="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18"/>
      <c r="AD305" s="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18"/>
    </row>
    <row r="306" spans="1:105" ht="14.25" customHeight="1">
      <c r="A306" s="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18"/>
      <c r="AD306" s="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18"/>
    </row>
    <row r="307" spans="1:105" ht="14.25" customHeight="1">
      <c r="A307" s="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18"/>
      <c r="AD307" s="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18"/>
    </row>
    <row r="308" spans="1:105" ht="14.25" customHeight="1">
      <c r="A308" s="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18"/>
      <c r="AD308" s="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18"/>
    </row>
    <row r="309" spans="1:105" ht="14.25" customHeight="1">
      <c r="A309" s="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18"/>
      <c r="AD309" s="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18"/>
    </row>
    <row r="310" spans="1:105" ht="5.25" customHeight="1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3"/>
      <c r="AD310" s="21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3"/>
    </row>
    <row r="311" spans="1:105" ht="7.5" customHeight="1"/>
    <row r="312" spans="1:105" ht="22">
      <c r="A312" s="2" t="s">
        <v>0</v>
      </c>
      <c r="M312" s="66">
        <f>$M$2</f>
        <v>2</v>
      </c>
      <c r="N312" s="66"/>
      <c r="AD312" s="3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25" t="str">
        <f>IF($BB$2="","",$BB$2)</f>
        <v/>
      </c>
      <c r="BC312" s="26"/>
      <c r="BD312" s="26"/>
      <c r="BE312" s="26"/>
      <c r="BF312" s="27"/>
      <c r="BG312" s="26">
        <f>$BG$2</f>
        <v>3159205</v>
      </c>
      <c r="BH312" s="26"/>
      <c r="BI312" s="26"/>
      <c r="BJ312" s="26"/>
      <c r="BK312" s="26"/>
      <c r="BL312" s="5"/>
      <c r="DA312" s="6"/>
    </row>
    <row r="313" spans="1:105" ht="7.5" customHeight="1">
      <c r="A313" s="7"/>
      <c r="AD313" s="8"/>
      <c r="AE313" s="9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1"/>
      <c r="AQ313" s="9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2"/>
      <c r="DA313" s="6"/>
    </row>
    <row r="314" spans="1:105" ht="18">
      <c r="M314" s="28" t="s">
        <v>3</v>
      </c>
      <c r="N314" s="29"/>
      <c r="O314" s="30"/>
      <c r="P314" s="28" t="str">
        <f>IF($CB$2=1,"勘 定 店 名","店　　名")</f>
        <v>店　　名</v>
      </c>
      <c r="Q314" s="29"/>
      <c r="R314" s="29"/>
      <c r="S314" s="29"/>
      <c r="T314" s="30"/>
      <c r="U314" s="28" t="s">
        <v>4</v>
      </c>
      <c r="V314" s="29"/>
      <c r="W314" s="29"/>
      <c r="X314" s="29"/>
      <c r="Y314" s="30"/>
      <c r="Z314" s="28" t="s">
        <v>5</v>
      </c>
      <c r="AA314" s="29"/>
      <c r="AB314" s="30"/>
      <c r="AD314" s="8"/>
      <c r="AE314" s="13"/>
      <c r="AF314" s="1" t="s">
        <v>6</v>
      </c>
      <c r="AJ314" s="31">
        <f>$AJ$4</f>
        <v>45860</v>
      </c>
      <c r="AK314" s="31"/>
      <c r="AL314" s="31"/>
      <c r="AM314" s="31"/>
      <c r="AN314" s="31"/>
      <c r="AO314" s="31"/>
      <c r="AP314" s="32"/>
      <c r="AQ314" s="13"/>
      <c r="AR314" s="1" t="s">
        <v>7</v>
      </c>
      <c r="AV314" s="33" t="str">
        <f>$AV$4</f>
        <v>埼玉県秩父郡小鹿野町両神薄字中原里248-2</v>
      </c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4"/>
      <c r="DA314" s="6"/>
    </row>
    <row r="315" spans="1:105" ht="7.5" customHeight="1">
      <c r="M315" s="39" t="str">
        <f>IF($M$5="","",$M$5)</f>
        <v/>
      </c>
      <c r="N315" s="40"/>
      <c r="O315" s="56"/>
      <c r="P315" s="39" t="str">
        <f>IF($P$5="","",$P$5)</f>
        <v/>
      </c>
      <c r="Q315" s="40"/>
      <c r="R315" s="40"/>
      <c r="S315" s="40"/>
      <c r="T315" s="56"/>
      <c r="U315" s="39" t="str">
        <f>IF($U$5="","",$U$5)</f>
        <v/>
      </c>
      <c r="V315" s="40"/>
      <c r="W315" s="40"/>
      <c r="X315" s="40"/>
      <c r="Y315" s="56"/>
      <c r="Z315" s="39" t="str">
        <f>IF($Z$5="","",$Z$5)</f>
        <v/>
      </c>
      <c r="AA315" s="40"/>
      <c r="AB315" s="56"/>
      <c r="AD315" s="8"/>
      <c r="AE315" s="14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6"/>
      <c r="AQ315" s="14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7"/>
      <c r="DA315" s="6"/>
    </row>
    <row r="316" spans="1:105" ht="7.5" customHeight="1">
      <c r="M316" s="58"/>
      <c r="N316" s="59"/>
      <c r="O316" s="60"/>
      <c r="P316" s="58"/>
      <c r="Q316" s="59"/>
      <c r="R316" s="59"/>
      <c r="S316" s="59"/>
      <c r="T316" s="60"/>
      <c r="U316" s="58"/>
      <c r="V316" s="59"/>
      <c r="W316" s="59"/>
      <c r="X316" s="59"/>
      <c r="Y316" s="60"/>
      <c r="Z316" s="58"/>
      <c r="AA316" s="59"/>
      <c r="AB316" s="60"/>
      <c r="AD316" s="8"/>
      <c r="BL316" s="18"/>
      <c r="DA316" s="6"/>
    </row>
    <row r="317" spans="1:105" ht="7.5" customHeight="1">
      <c r="M317" s="58"/>
      <c r="N317" s="59"/>
      <c r="O317" s="60"/>
      <c r="P317" s="58"/>
      <c r="Q317" s="59"/>
      <c r="R317" s="59"/>
      <c r="S317" s="59"/>
      <c r="T317" s="60"/>
      <c r="U317" s="58"/>
      <c r="V317" s="59"/>
      <c r="W317" s="59"/>
      <c r="X317" s="59"/>
      <c r="Y317" s="60"/>
      <c r="Z317" s="58"/>
      <c r="AA317" s="59"/>
      <c r="AB317" s="60"/>
      <c r="AD317" s="8"/>
      <c r="BL317" s="18"/>
      <c r="DA317" s="6"/>
    </row>
    <row r="318" spans="1:105" ht="18">
      <c r="M318" s="58"/>
      <c r="N318" s="59"/>
      <c r="O318" s="60"/>
      <c r="P318" s="58"/>
      <c r="Q318" s="59"/>
      <c r="R318" s="59"/>
      <c r="S318" s="59"/>
      <c r="T318" s="60"/>
      <c r="U318" s="58"/>
      <c r="V318" s="59"/>
      <c r="W318" s="59"/>
      <c r="X318" s="59"/>
      <c r="Y318" s="60"/>
      <c r="Z318" s="58"/>
      <c r="AA318" s="59"/>
      <c r="AB318" s="60"/>
      <c r="AD318" s="8"/>
      <c r="BL318" s="18"/>
      <c r="DA318" s="6"/>
    </row>
    <row r="319" spans="1:105" ht="18">
      <c r="B319" s="61">
        <f>$B$9</f>
        <v>45860</v>
      </c>
      <c r="C319" s="61"/>
      <c r="D319" s="61"/>
      <c r="E319" s="61"/>
      <c r="F319" s="61"/>
      <c r="G319" s="61"/>
      <c r="H319" s="61"/>
      <c r="I319" s="61"/>
      <c r="J319" s="61"/>
      <c r="M319" s="42"/>
      <c r="N319" s="43"/>
      <c r="O319" s="57"/>
      <c r="P319" s="42"/>
      <c r="Q319" s="43"/>
      <c r="R319" s="43"/>
      <c r="S319" s="43"/>
      <c r="T319" s="57"/>
      <c r="U319" s="42"/>
      <c r="V319" s="43"/>
      <c r="W319" s="43"/>
      <c r="X319" s="43"/>
      <c r="Y319" s="57"/>
      <c r="Z319" s="42"/>
      <c r="AA319" s="43"/>
      <c r="AB319" s="57"/>
      <c r="AD319" s="8"/>
      <c r="AE319" s="19" t="s">
        <v>76</v>
      </c>
      <c r="AF319" s="35"/>
      <c r="AG319" s="36"/>
      <c r="AH319" s="36"/>
      <c r="AI319" s="36"/>
      <c r="AJ319" s="36"/>
      <c r="AK319" s="36"/>
      <c r="AL319" s="36"/>
      <c r="AM319" s="36"/>
      <c r="AN319" s="36"/>
      <c r="AV319" s="19" t="s">
        <v>77</v>
      </c>
      <c r="AW319" s="35"/>
      <c r="AX319" s="36"/>
      <c r="AY319" s="36"/>
      <c r="AZ319" s="36"/>
      <c r="BA319" s="36"/>
      <c r="BB319" s="36"/>
      <c r="BC319" s="36"/>
      <c r="BD319" s="36"/>
      <c r="BE319" s="36"/>
      <c r="BL319" s="18"/>
      <c r="DA319" s="6"/>
    </row>
    <row r="320" spans="1:105" ht="14.25" customHeight="1">
      <c r="AD320" s="8"/>
      <c r="AE320" s="37" t="s">
        <v>16</v>
      </c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V320" s="37" t="s">
        <v>16</v>
      </c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18"/>
      <c r="DA320" s="6"/>
    </row>
    <row r="321" spans="1:105" ht="14.25" customHeight="1">
      <c r="A321" s="39" t="str">
        <f>$A$11</f>
        <v>CIF</v>
      </c>
      <c r="B321" s="40"/>
      <c r="C321" s="40"/>
      <c r="D321" s="41"/>
      <c r="E321" s="45" t="str">
        <f>IF($E$11="","",$E$11)</f>
        <v/>
      </c>
      <c r="F321" s="40"/>
      <c r="G321" s="40"/>
      <c r="H321" s="40"/>
      <c r="I321" s="40"/>
      <c r="J321" s="40"/>
      <c r="K321" s="40"/>
      <c r="L321" s="40"/>
      <c r="M321" s="41"/>
      <c r="N321" s="45" t="str">
        <f>$N$11</f>
        <v>勘定店番</v>
      </c>
      <c r="O321" s="40"/>
      <c r="P321" s="40"/>
      <c r="Q321" s="40"/>
      <c r="R321" s="40"/>
      <c r="S321" s="41"/>
      <c r="T321" s="47" t="str">
        <f>IF($T$11="","",$T$11)</f>
        <v/>
      </c>
      <c r="U321" s="48"/>
      <c r="V321" s="48"/>
      <c r="W321" s="48"/>
      <c r="X321" s="48"/>
      <c r="Y321" s="48"/>
      <c r="Z321" s="48"/>
      <c r="AA321" s="48"/>
      <c r="AB321" s="49"/>
      <c r="AD321" s="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18"/>
      <c r="DA321" s="6"/>
    </row>
    <row r="322" spans="1:105" ht="14.25" customHeight="1">
      <c r="A322" s="42"/>
      <c r="B322" s="43"/>
      <c r="C322" s="43"/>
      <c r="D322" s="44"/>
      <c r="E322" s="46"/>
      <c r="F322" s="43"/>
      <c r="G322" s="43"/>
      <c r="H322" s="43"/>
      <c r="I322" s="43"/>
      <c r="J322" s="43"/>
      <c r="K322" s="43"/>
      <c r="L322" s="43"/>
      <c r="M322" s="44"/>
      <c r="N322" s="53" t="str">
        <f>$N$12</f>
        <v>(勘定移管レス先のみ)</v>
      </c>
      <c r="O322" s="54"/>
      <c r="P322" s="54"/>
      <c r="Q322" s="54"/>
      <c r="R322" s="54"/>
      <c r="S322" s="55"/>
      <c r="T322" s="50"/>
      <c r="U322" s="51"/>
      <c r="V322" s="51"/>
      <c r="W322" s="51"/>
      <c r="X322" s="51"/>
      <c r="Y322" s="51"/>
      <c r="Z322" s="51"/>
      <c r="AA322" s="51"/>
      <c r="AB322" s="52"/>
      <c r="AD322" s="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18"/>
      <c r="DA322" s="6"/>
    </row>
    <row r="323" spans="1:105" ht="14.25" customHeight="1">
      <c r="A323" s="39" t="str">
        <f>$A$13</f>
        <v>債務者名</v>
      </c>
      <c r="B323" s="40"/>
      <c r="C323" s="40"/>
      <c r="D323" s="41"/>
      <c r="E323" s="45" t="str">
        <f>IF($E$13="","",$E$13)</f>
        <v/>
      </c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56"/>
      <c r="AD323" s="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18"/>
      <c r="DA323" s="6"/>
    </row>
    <row r="324" spans="1:105" ht="14.25" customHeight="1">
      <c r="A324" s="42"/>
      <c r="B324" s="43"/>
      <c r="C324" s="43"/>
      <c r="D324" s="44"/>
      <c r="E324" s="46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57"/>
      <c r="AD324" s="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18"/>
      <c r="DA324" s="6"/>
    </row>
    <row r="325" spans="1:105" ht="14.25" customHeight="1">
      <c r="A325" s="3"/>
      <c r="B325" s="4" t="s">
        <v>24</v>
      </c>
      <c r="C325" s="4"/>
      <c r="D325" s="4"/>
      <c r="E325" s="4"/>
      <c r="F325" s="4" t="s">
        <v>25</v>
      </c>
      <c r="G325" s="4"/>
      <c r="H325" s="4" t="s">
        <v>26</v>
      </c>
      <c r="I325" s="4"/>
      <c r="J325" s="4" t="s">
        <v>27</v>
      </c>
      <c r="K325" s="4"/>
      <c r="L325" s="4" t="s">
        <v>26</v>
      </c>
      <c r="M325" s="4" t="s">
        <v>28</v>
      </c>
      <c r="N325" s="4"/>
      <c r="O325" s="4"/>
      <c r="P325" s="4" t="s">
        <v>29</v>
      </c>
      <c r="Q325" s="20" t="s">
        <v>30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D325" s="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18"/>
      <c r="DA325" s="6"/>
    </row>
    <row r="326" spans="1:105" ht="14.25" customHeight="1">
      <c r="A326" s="8"/>
      <c r="AB326" s="18"/>
      <c r="AD326" s="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18"/>
      <c r="DA326" s="6"/>
    </row>
    <row r="327" spans="1:105" ht="14.25" customHeight="1">
      <c r="A327" s="8"/>
      <c r="B327" s="1" t="s">
        <v>33</v>
      </c>
      <c r="G327" s="1" t="s">
        <v>34</v>
      </c>
      <c r="AB327" s="18"/>
      <c r="AD327" s="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18"/>
      <c r="DA327" s="6"/>
    </row>
    <row r="328" spans="1:105" ht="14.25" customHeight="1">
      <c r="A328" s="8"/>
      <c r="G328" s="1" t="s">
        <v>36</v>
      </c>
      <c r="AB328" s="18"/>
      <c r="AD328" s="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18"/>
      <c r="DA328" s="6"/>
    </row>
    <row r="329" spans="1:105" ht="14.25" customHeight="1">
      <c r="A329" s="8"/>
      <c r="AB329" s="18"/>
      <c r="AD329" s="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18"/>
      <c r="DA329" s="6"/>
    </row>
    <row r="330" spans="1:105" ht="14.25" customHeight="1">
      <c r="A330" s="8"/>
      <c r="B330" s="37" t="s">
        <v>39</v>
      </c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18"/>
      <c r="AD330" s="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18"/>
      <c r="DA330" s="6"/>
    </row>
    <row r="331" spans="1:105" ht="14.25" customHeight="1">
      <c r="A331" s="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18"/>
      <c r="AD331" s="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18"/>
      <c r="DA331" s="6"/>
    </row>
    <row r="332" spans="1:105" ht="14.25" customHeight="1">
      <c r="A332" s="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18"/>
      <c r="AD332" s="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18"/>
      <c r="DA332" s="6"/>
    </row>
    <row r="333" spans="1:105" ht="14.25" customHeight="1">
      <c r="A333" s="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18"/>
      <c r="AD333" s="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18"/>
      <c r="DA333" s="6"/>
    </row>
    <row r="334" spans="1:105" ht="14.25" customHeight="1">
      <c r="A334" s="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18"/>
      <c r="AD334" s="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18"/>
      <c r="DA334" s="6"/>
    </row>
    <row r="335" spans="1:105" ht="14.25" customHeight="1">
      <c r="A335" s="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18"/>
      <c r="AD335" s="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18"/>
      <c r="DA335" s="6"/>
    </row>
    <row r="336" spans="1:105" ht="4.5" customHeight="1">
      <c r="A336" s="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18"/>
      <c r="AD336" s="8"/>
      <c r="BL336" s="18"/>
      <c r="DA336" s="6"/>
    </row>
    <row r="337" spans="1:105" ht="13.5" customHeight="1">
      <c r="A337" s="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18"/>
      <c r="AD337" s="8"/>
      <c r="AE337" s="19" t="s">
        <v>78</v>
      </c>
      <c r="AF337" s="35"/>
      <c r="AG337" s="36"/>
      <c r="AH337" s="36"/>
      <c r="AI337" s="36"/>
      <c r="AJ337" s="36"/>
      <c r="AK337" s="36"/>
      <c r="AL337" s="36"/>
      <c r="AM337" s="36"/>
      <c r="AN337" s="36"/>
      <c r="AV337" s="19" t="s">
        <v>79</v>
      </c>
      <c r="AW337" s="35"/>
      <c r="AX337" s="36"/>
      <c r="AY337" s="36"/>
      <c r="AZ337" s="36"/>
      <c r="BA337" s="36"/>
      <c r="BB337" s="36"/>
      <c r="BC337" s="36"/>
      <c r="BD337" s="36"/>
      <c r="BE337" s="36"/>
      <c r="BL337" s="18"/>
      <c r="DA337" s="6"/>
    </row>
    <row r="338" spans="1:105" ht="14.25" customHeight="1">
      <c r="A338" s="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18"/>
      <c r="AD338" s="8"/>
      <c r="AE338" s="37" t="s">
        <v>16</v>
      </c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V338" s="37" t="s">
        <v>16</v>
      </c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18"/>
    </row>
    <row r="339" spans="1:105" ht="14.25" customHeight="1">
      <c r="A339" s="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18"/>
      <c r="AD339" s="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18"/>
    </row>
    <row r="340" spans="1:105" ht="14.25" customHeight="1">
      <c r="A340" s="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18"/>
      <c r="AD340" s="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18"/>
    </row>
    <row r="341" spans="1:105" ht="14.25" customHeight="1">
      <c r="A341" s="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18"/>
      <c r="AD341" s="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18"/>
    </row>
    <row r="342" spans="1:105" ht="14.25" customHeight="1">
      <c r="A342" s="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18"/>
      <c r="AD342" s="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18"/>
    </row>
    <row r="343" spans="1:105" ht="14.25" customHeight="1">
      <c r="A343" s="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18"/>
      <c r="AD343" s="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18"/>
    </row>
    <row r="344" spans="1:105" ht="14.25" customHeight="1">
      <c r="A344" s="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18"/>
      <c r="AD344" s="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18"/>
    </row>
    <row r="345" spans="1:105" ht="14.25" customHeight="1">
      <c r="A345" s="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18"/>
      <c r="AD345" s="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18"/>
    </row>
    <row r="346" spans="1:105" ht="14.25" customHeight="1">
      <c r="A346" s="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18"/>
      <c r="AD346" s="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18"/>
    </row>
    <row r="347" spans="1:105" ht="14.25" customHeight="1">
      <c r="A347" s="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18"/>
      <c r="AD347" s="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18"/>
    </row>
    <row r="348" spans="1:105" ht="14.25" customHeight="1">
      <c r="A348" s="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18"/>
      <c r="AD348" s="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18"/>
    </row>
    <row r="349" spans="1:105" ht="14.25" customHeight="1">
      <c r="A349" s="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18"/>
      <c r="AD349" s="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18"/>
    </row>
    <row r="350" spans="1:105" ht="14.25" customHeight="1">
      <c r="A350" s="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18"/>
      <c r="AD350" s="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18"/>
    </row>
    <row r="351" spans="1:105" ht="14.25" customHeight="1">
      <c r="A351" s="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18"/>
      <c r="AD351" s="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18"/>
    </row>
    <row r="352" spans="1:105" ht="14.25" customHeight="1">
      <c r="A352" s="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18"/>
      <c r="AD352" s="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18"/>
    </row>
    <row r="353" spans="1:64" ht="14.25" customHeight="1">
      <c r="A353" s="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18"/>
      <c r="AD353" s="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18"/>
    </row>
    <row r="354" spans="1:64" ht="4.5" customHeight="1">
      <c r="A354" s="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18"/>
      <c r="AD354" s="8"/>
      <c r="BL354" s="18"/>
    </row>
    <row r="355" spans="1:64" ht="13.5" customHeight="1">
      <c r="A355" s="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18"/>
      <c r="AD355" s="8"/>
      <c r="AE355" s="19" t="s">
        <v>80</v>
      </c>
      <c r="AF355" s="35"/>
      <c r="AG355" s="36"/>
      <c r="AH355" s="36"/>
      <c r="AI355" s="36"/>
      <c r="AJ355" s="36"/>
      <c r="AK355" s="36"/>
      <c r="AL355" s="36"/>
      <c r="AM355" s="36"/>
      <c r="AN355" s="36"/>
      <c r="AV355" s="19" t="s">
        <v>81</v>
      </c>
      <c r="AW355" s="35"/>
      <c r="AX355" s="36"/>
      <c r="AY355" s="36"/>
      <c r="AZ355" s="36"/>
      <c r="BA355" s="36"/>
      <c r="BB355" s="36"/>
      <c r="BC355" s="36"/>
      <c r="BD355" s="36"/>
      <c r="BE355" s="36"/>
      <c r="BL355" s="18"/>
    </row>
    <row r="356" spans="1:64" ht="14.25" customHeight="1">
      <c r="A356" s="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18"/>
      <c r="AD356" s="8"/>
      <c r="AE356" s="37" t="s">
        <v>16</v>
      </c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V356" s="37" t="s">
        <v>16</v>
      </c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18"/>
    </row>
    <row r="357" spans="1:64" ht="14.25" customHeight="1">
      <c r="A357" s="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18"/>
      <c r="AD357" s="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18"/>
    </row>
    <row r="358" spans="1:64" ht="14.25" customHeight="1">
      <c r="A358" s="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18"/>
      <c r="AD358" s="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18"/>
    </row>
    <row r="359" spans="1:64" ht="14.25" customHeight="1">
      <c r="A359" s="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18"/>
      <c r="AD359" s="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18"/>
    </row>
    <row r="360" spans="1:64" ht="14.25" customHeight="1">
      <c r="A360" s="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18"/>
      <c r="AD360" s="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18"/>
    </row>
    <row r="361" spans="1:64" ht="14.25" customHeight="1">
      <c r="A361" s="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18"/>
      <c r="AD361" s="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18"/>
    </row>
    <row r="362" spans="1:64" ht="14.25" customHeight="1">
      <c r="A362" s="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18"/>
      <c r="AD362" s="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18"/>
    </row>
    <row r="363" spans="1:64" ht="14.25" customHeight="1">
      <c r="A363" s="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18"/>
      <c r="AD363" s="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18"/>
    </row>
    <row r="364" spans="1:64" ht="14.25" customHeight="1">
      <c r="A364" s="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18"/>
      <c r="AD364" s="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18"/>
    </row>
    <row r="365" spans="1:64" ht="14.25" customHeight="1">
      <c r="A365" s="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18"/>
      <c r="AD365" s="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18"/>
    </row>
    <row r="366" spans="1:64" ht="14.25" customHeight="1">
      <c r="A366" s="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18"/>
      <c r="AD366" s="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18"/>
    </row>
    <row r="367" spans="1:64" ht="14.25" customHeight="1">
      <c r="A367" s="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18"/>
      <c r="AD367" s="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18"/>
    </row>
    <row r="368" spans="1:64" ht="14.25" customHeight="1">
      <c r="A368" s="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18"/>
      <c r="AD368" s="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18"/>
    </row>
    <row r="369" spans="1:64" ht="14.25" customHeight="1">
      <c r="A369" s="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18"/>
      <c r="AD369" s="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18"/>
    </row>
    <row r="370" spans="1:64" ht="14.25" customHeight="1">
      <c r="A370" s="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18"/>
      <c r="AD370" s="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18"/>
    </row>
    <row r="371" spans="1:64" ht="14.25" customHeight="1">
      <c r="A371" s="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18"/>
      <c r="AD371" s="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18"/>
    </row>
    <row r="372" spans="1:64" ht="5.25" customHeight="1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3"/>
      <c r="AD372" s="21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3"/>
    </row>
  </sheetData>
  <mergeCells count="204">
    <mergeCell ref="AV356:BK371"/>
    <mergeCell ref="AW319:BE319"/>
    <mergeCell ref="AE320:AT335"/>
    <mergeCell ref="AV320:BK335"/>
    <mergeCell ref="A321:D322"/>
    <mergeCell ref="E321:M322"/>
    <mergeCell ref="N321:S321"/>
    <mergeCell ref="T321:AB322"/>
    <mergeCell ref="N322:S322"/>
    <mergeCell ref="A323:D324"/>
    <mergeCell ref="E323:AB324"/>
    <mergeCell ref="M315:O319"/>
    <mergeCell ref="P315:T319"/>
    <mergeCell ref="U315:Y319"/>
    <mergeCell ref="Z315:AB319"/>
    <mergeCell ref="B319:J319"/>
    <mergeCell ref="AF319:AN319"/>
    <mergeCell ref="B330:AA371"/>
    <mergeCell ref="AF337:AN337"/>
    <mergeCell ref="AW337:BE337"/>
    <mergeCell ref="AE338:AT353"/>
    <mergeCell ref="AV338:BK353"/>
    <mergeCell ref="AF355:AN355"/>
    <mergeCell ref="AW355:BE355"/>
    <mergeCell ref="AE356:AT371"/>
    <mergeCell ref="AV294:BK309"/>
    <mergeCell ref="M312:N312"/>
    <mergeCell ref="BB312:BF312"/>
    <mergeCell ref="BG312:BK312"/>
    <mergeCell ref="M314:O314"/>
    <mergeCell ref="P314:T314"/>
    <mergeCell ref="U314:Y314"/>
    <mergeCell ref="Z314:AB314"/>
    <mergeCell ref="AJ314:AP314"/>
    <mergeCell ref="AV314:BL314"/>
    <mergeCell ref="AW257:BE257"/>
    <mergeCell ref="AE258:AT273"/>
    <mergeCell ref="AV258:BK273"/>
    <mergeCell ref="A259:D260"/>
    <mergeCell ref="E259:M260"/>
    <mergeCell ref="N259:S259"/>
    <mergeCell ref="T259:AB260"/>
    <mergeCell ref="N260:S260"/>
    <mergeCell ref="A261:D262"/>
    <mergeCell ref="E261:AB262"/>
    <mergeCell ref="M253:O257"/>
    <mergeCell ref="P253:T257"/>
    <mergeCell ref="U253:Y257"/>
    <mergeCell ref="Z253:AB257"/>
    <mergeCell ref="B257:J257"/>
    <mergeCell ref="AF257:AN257"/>
    <mergeCell ref="B268:AA309"/>
    <mergeCell ref="AF275:AN275"/>
    <mergeCell ref="AW275:BE275"/>
    <mergeCell ref="AE276:AT291"/>
    <mergeCell ref="AV276:BK291"/>
    <mergeCell ref="AF293:AN293"/>
    <mergeCell ref="AW293:BE293"/>
    <mergeCell ref="AE294:AT309"/>
    <mergeCell ref="AV232:BK247"/>
    <mergeCell ref="M250:N250"/>
    <mergeCell ref="BB250:BF250"/>
    <mergeCell ref="BG250:BK250"/>
    <mergeCell ref="M252:O252"/>
    <mergeCell ref="P252:T252"/>
    <mergeCell ref="U252:Y252"/>
    <mergeCell ref="Z252:AB252"/>
    <mergeCell ref="AJ252:AP252"/>
    <mergeCell ref="AV252:BL252"/>
    <mergeCell ref="AW195:BE195"/>
    <mergeCell ref="AE196:AT211"/>
    <mergeCell ref="AV196:BK211"/>
    <mergeCell ref="A197:D198"/>
    <mergeCell ref="E197:M198"/>
    <mergeCell ref="N197:S197"/>
    <mergeCell ref="T197:AB198"/>
    <mergeCell ref="N198:S198"/>
    <mergeCell ref="A199:D200"/>
    <mergeCell ref="E199:AB200"/>
    <mergeCell ref="M191:O195"/>
    <mergeCell ref="P191:T195"/>
    <mergeCell ref="U191:Y195"/>
    <mergeCell ref="Z191:AB195"/>
    <mergeCell ref="B195:J195"/>
    <mergeCell ref="AF195:AN195"/>
    <mergeCell ref="B206:AA247"/>
    <mergeCell ref="AF213:AN213"/>
    <mergeCell ref="AW213:BE213"/>
    <mergeCell ref="AE214:AT229"/>
    <mergeCell ref="AV214:BK229"/>
    <mergeCell ref="AF231:AN231"/>
    <mergeCell ref="AW231:BE231"/>
    <mergeCell ref="AE232:AT247"/>
    <mergeCell ref="AV170:BK185"/>
    <mergeCell ref="M188:N188"/>
    <mergeCell ref="BB188:BF188"/>
    <mergeCell ref="BG188:BK188"/>
    <mergeCell ref="M190:O190"/>
    <mergeCell ref="P190:T190"/>
    <mergeCell ref="U190:Y190"/>
    <mergeCell ref="Z190:AB190"/>
    <mergeCell ref="AJ190:AP190"/>
    <mergeCell ref="AV190:BL190"/>
    <mergeCell ref="AW133:BE133"/>
    <mergeCell ref="AE134:AT149"/>
    <mergeCell ref="AV134:BK149"/>
    <mergeCell ref="A135:D136"/>
    <mergeCell ref="E135:M136"/>
    <mergeCell ref="N135:S135"/>
    <mergeCell ref="T135:AB136"/>
    <mergeCell ref="N136:S136"/>
    <mergeCell ref="A137:D138"/>
    <mergeCell ref="E137:AB138"/>
    <mergeCell ref="M129:O133"/>
    <mergeCell ref="P129:T133"/>
    <mergeCell ref="U129:Y133"/>
    <mergeCell ref="Z129:AB133"/>
    <mergeCell ref="B133:J133"/>
    <mergeCell ref="AF133:AN133"/>
    <mergeCell ref="B144:AA185"/>
    <mergeCell ref="AF151:AN151"/>
    <mergeCell ref="AW151:BE151"/>
    <mergeCell ref="AE152:AT167"/>
    <mergeCell ref="AV152:BK167"/>
    <mergeCell ref="AF169:AN169"/>
    <mergeCell ref="AW169:BE169"/>
    <mergeCell ref="AE170:AT185"/>
    <mergeCell ref="AV108:BK123"/>
    <mergeCell ref="M126:N126"/>
    <mergeCell ref="BB126:BF126"/>
    <mergeCell ref="BG126:BK126"/>
    <mergeCell ref="M128:O128"/>
    <mergeCell ref="P128:T128"/>
    <mergeCell ref="U128:Y128"/>
    <mergeCell ref="Z128:AB128"/>
    <mergeCell ref="AJ128:AP128"/>
    <mergeCell ref="AV128:BL128"/>
    <mergeCell ref="AW71:BE71"/>
    <mergeCell ref="AE72:AT87"/>
    <mergeCell ref="AV72:BK87"/>
    <mergeCell ref="A73:D74"/>
    <mergeCell ref="E73:M74"/>
    <mergeCell ref="N73:S73"/>
    <mergeCell ref="T73:AB74"/>
    <mergeCell ref="N74:S74"/>
    <mergeCell ref="A75:D76"/>
    <mergeCell ref="E75:AB76"/>
    <mergeCell ref="M67:O71"/>
    <mergeCell ref="P67:T71"/>
    <mergeCell ref="U67:Y71"/>
    <mergeCell ref="Z67:AB71"/>
    <mergeCell ref="B71:J71"/>
    <mergeCell ref="AF71:AN71"/>
    <mergeCell ref="B82:AA123"/>
    <mergeCell ref="AF89:AN89"/>
    <mergeCell ref="AW89:BE89"/>
    <mergeCell ref="AE90:AT105"/>
    <mergeCell ref="AV90:BK105"/>
    <mergeCell ref="AF107:AN107"/>
    <mergeCell ref="AW107:BE107"/>
    <mergeCell ref="AE108:AT123"/>
    <mergeCell ref="AV46:BK61"/>
    <mergeCell ref="M64:N64"/>
    <mergeCell ref="BB64:BF64"/>
    <mergeCell ref="BG64:BK64"/>
    <mergeCell ref="M66:O66"/>
    <mergeCell ref="P66:T66"/>
    <mergeCell ref="U66:Y66"/>
    <mergeCell ref="Z66:AB66"/>
    <mergeCell ref="AJ66:AP66"/>
    <mergeCell ref="AV66:BL66"/>
    <mergeCell ref="AW9:BE9"/>
    <mergeCell ref="AE10:AT25"/>
    <mergeCell ref="AV10:BK25"/>
    <mergeCell ref="A11:D12"/>
    <mergeCell ref="E11:M12"/>
    <mergeCell ref="N11:S11"/>
    <mergeCell ref="T11:AB12"/>
    <mergeCell ref="N12:S12"/>
    <mergeCell ref="A13:D14"/>
    <mergeCell ref="E13:AB14"/>
    <mergeCell ref="M5:O9"/>
    <mergeCell ref="P5:T9"/>
    <mergeCell ref="U5:Y9"/>
    <mergeCell ref="Z5:AB9"/>
    <mergeCell ref="B9:J9"/>
    <mergeCell ref="AF9:AN9"/>
    <mergeCell ref="B20:AA61"/>
    <mergeCell ref="AF27:AN27"/>
    <mergeCell ref="AW27:BE27"/>
    <mergeCell ref="AE28:AT43"/>
    <mergeCell ref="AV28:BK43"/>
    <mergeCell ref="AF45:AN45"/>
    <mergeCell ref="AW45:BE45"/>
    <mergeCell ref="AE46:AT61"/>
    <mergeCell ref="M2:N2"/>
    <mergeCell ref="BB2:BF2"/>
    <mergeCell ref="BG2:BK2"/>
    <mergeCell ref="M4:O4"/>
    <mergeCell ref="P4:T4"/>
    <mergeCell ref="U4:Y4"/>
    <mergeCell ref="Z4:AB4"/>
    <mergeCell ref="AJ4:AP4"/>
    <mergeCell ref="AV4:BL4"/>
  </mergeCells>
  <phoneticPr fontId="2"/>
  <dataValidations count="1">
    <dataValidation type="list" allowBlank="1" showInputMessage="1" showErrorMessage="1" sqref="AF9:AN9 AW9:BE9 AF27:AN27 AW27:BE27 AF45:AN45 AW45:BE45 AF107:AN107 AF71:AN71 AW71:BE71 AF89:AN89 AW89:BE89 AW107:BE107 AF133:AN133 AW133:BE133 AF151:AN151 AW151:BE151 AF169:AN169 AW169:BE169 AF195:AN195 AW195:BE195 AF213:AN213 AW213:BE213 AF231:AN231 AW231:BE231 AF257:AN257 AW257:BE257 AF275:AN275 AW275:BE275 AF293:AN293 AW293:BE293 AF319:AN319 AW319:BE319 AF337:AN337 AW337:BE337 AF355:AN355 AW355:BE355" xr:uid="{420AA004-16F9-4344-A9CB-01584500C5F4}">
      <formula1>$DA$2:$DA$27</formula1>
    </dataValidation>
  </dataValidations>
  <printOptions horizontalCentered="1" verticalCentered="1"/>
  <pageMargins left="0.51181102362204722" right="0.31496062992125984" top="0.51181102362204722" bottom="0.31496062992125984" header="0.31496062992125984" footer="0.31496062992125984"/>
  <pageSetup paperSize="12" scale="80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E652-E763-46C3-BD4E-E5E18D48594D}">
  <dimension ref="A1:DA372"/>
  <sheetViews>
    <sheetView zoomScale="80" zoomScaleNormal="80" workbookViewId="0">
      <selection activeCell="BX79" sqref="BX79"/>
    </sheetView>
  </sheetViews>
  <sheetFormatPr baseColWidth="10" defaultColWidth="3.5" defaultRowHeight="14"/>
  <cols>
    <col min="1" max="1" width="1.83203125" style="1" customWidth="1"/>
    <col min="2" max="28" width="3" style="1" customWidth="1"/>
    <col min="29" max="30" width="1.83203125" style="1" customWidth="1"/>
    <col min="31" max="63" width="3" style="1" customWidth="1"/>
    <col min="64" max="64" width="1.83203125" style="1" customWidth="1"/>
    <col min="65" max="16384" width="3.5" style="1"/>
  </cols>
  <sheetData>
    <row r="1" spans="1:105" ht="7.5" customHeight="1"/>
    <row r="2" spans="1:105" ht="22">
      <c r="A2" s="2" t="s">
        <v>0</v>
      </c>
      <c r="M2" s="24">
        <v>2</v>
      </c>
      <c r="N2" s="24"/>
      <c r="AD2" s="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25"/>
      <c r="BC2" s="26"/>
      <c r="BD2" s="26"/>
      <c r="BE2" s="26"/>
      <c r="BF2" s="27"/>
      <c r="BG2" s="26">
        <v>3159205</v>
      </c>
      <c r="BH2" s="26"/>
      <c r="BI2" s="26"/>
      <c r="BJ2" s="26"/>
      <c r="BK2" s="26"/>
      <c r="BL2" s="5"/>
      <c r="CA2" s="1">
        <v>3794</v>
      </c>
      <c r="CB2" s="1">
        <v>1</v>
      </c>
      <c r="DA2" s="6" t="s">
        <v>1</v>
      </c>
    </row>
    <row r="3" spans="1:105" ht="7.5" customHeight="1">
      <c r="A3" s="7"/>
      <c r="AD3" s="8"/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2"/>
      <c r="DA3" s="6" t="s">
        <v>2</v>
      </c>
    </row>
    <row r="4" spans="1:105" ht="18">
      <c r="M4" s="28" t="s">
        <v>3</v>
      </c>
      <c r="N4" s="29"/>
      <c r="O4" s="30"/>
      <c r="P4" s="28" t="str">
        <f>IF($CB$2=1,"勘定店名","店　　名")</f>
        <v>勘定店名</v>
      </c>
      <c r="Q4" s="29"/>
      <c r="R4" s="29"/>
      <c r="S4" s="29"/>
      <c r="T4" s="30"/>
      <c r="U4" s="28" t="s">
        <v>4</v>
      </c>
      <c r="V4" s="29"/>
      <c r="W4" s="29"/>
      <c r="X4" s="29"/>
      <c r="Y4" s="30"/>
      <c r="Z4" s="28" t="s">
        <v>5</v>
      </c>
      <c r="AA4" s="29"/>
      <c r="AB4" s="30"/>
      <c r="AD4" s="8"/>
      <c r="AE4" s="13"/>
      <c r="AF4" s="1" t="s">
        <v>6</v>
      </c>
      <c r="AJ4" s="67">
        <v>45860</v>
      </c>
      <c r="AK4" s="67"/>
      <c r="AL4" s="67"/>
      <c r="AM4" s="67"/>
      <c r="AN4" s="67"/>
      <c r="AO4" s="67"/>
      <c r="AP4" s="68"/>
      <c r="AQ4" s="13"/>
      <c r="AR4" s="1" t="s">
        <v>7</v>
      </c>
      <c r="AV4" s="33" t="s">
        <v>86</v>
      </c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4"/>
      <c r="DA4" s="6" t="s">
        <v>8</v>
      </c>
    </row>
    <row r="5" spans="1:105" ht="7.5" customHeight="1">
      <c r="M5" s="39">
        <v>584</v>
      </c>
      <c r="N5" s="40"/>
      <c r="O5" s="56"/>
      <c r="P5" s="39" t="s">
        <v>82</v>
      </c>
      <c r="Q5" s="40"/>
      <c r="R5" s="40"/>
      <c r="S5" s="40"/>
      <c r="T5" s="56"/>
      <c r="U5" s="39"/>
      <c r="V5" s="40"/>
      <c r="W5" s="40"/>
      <c r="X5" s="40"/>
      <c r="Y5" s="56"/>
      <c r="Z5" s="39"/>
      <c r="AA5" s="40"/>
      <c r="AB5" s="56"/>
      <c r="AD5" s="8"/>
      <c r="AE5" s="14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6"/>
      <c r="AQ5" s="14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7"/>
      <c r="DA5" s="6" t="s">
        <v>9</v>
      </c>
    </row>
    <row r="6" spans="1:105" ht="7.5" customHeight="1">
      <c r="M6" s="58"/>
      <c r="N6" s="59"/>
      <c r="O6" s="60"/>
      <c r="P6" s="58"/>
      <c r="Q6" s="59"/>
      <c r="R6" s="59"/>
      <c r="S6" s="59"/>
      <c r="T6" s="60"/>
      <c r="U6" s="58"/>
      <c r="V6" s="59"/>
      <c r="W6" s="59"/>
      <c r="X6" s="59"/>
      <c r="Y6" s="60"/>
      <c r="Z6" s="58"/>
      <c r="AA6" s="59"/>
      <c r="AB6" s="60"/>
      <c r="AD6" s="8"/>
      <c r="BL6" s="18"/>
      <c r="DA6" s="6" t="s">
        <v>10</v>
      </c>
    </row>
    <row r="7" spans="1:105" ht="7.5" customHeight="1">
      <c r="M7" s="58"/>
      <c r="N7" s="59"/>
      <c r="O7" s="60"/>
      <c r="P7" s="58"/>
      <c r="Q7" s="59"/>
      <c r="R7" s="59"/>
      <c r="S7" s="59"/>
      <c r="T7" s="60"/>
      <c r="U7" s="58"/>
      <c r="V7" s="59"/>
      <c r="W7" s="59"/>
      <c r="X7" s="59"/>
      <c r="Y7" s="60"/>
      <c r="Z7" s="58"/>
      <c r="AA7" s="59"/>
      <c r="AB7" s="60"/>
      <c r="AD7" s="8"/>
      <c r="BL7" s="18"/>
      <c r="DA7" s="6" t="s">
        <v>11</v>
      </c>
    </row>
    <row r="8" spans="1:105" ht="18">
      <c r="M8" s="58"/>
      <c r="N8" s="59"/>
      <c r="O8" s="60"/>
      <c r="P8" s="58"/>
      <c r="Q8" s="59"/>
      <c r="R8" s="59"/>
      <c r="S8" s="59"/>
      <c r="T8" s="60"/>
      <c r="U8" s="58"/>
      <c r="V8" s="59"/>
      <c r="W8" s="59"/>
      <c r="X8" s="59"/>
      <c r="Y8" s="60"/>
      <c r="Z8" s="58"/>
      <c r="AA8" s="59"/>
      <c r="AB8" s="60"/>
      <c r="AD8" s="8"/>
      <c r="BL8" s="18"/>
      <c r="DA8" s="6" t="s">
        <v>12</v>
      </c>
    </row>
    <row r="9" spans="1:105" ht="18">
      <c r="B9" s="69">
        <v>45860</v>
      </c>
      <c r="C9" s="69"/>
      <c r="D9" s="69"/>
      <c r="E9" s="69"/>
      <c r="F9" s="69"/>
      <c r="G9" s="69"/>
      <c r="H9" s="69"/>
      <c r="I9" s="69"/>
      <c r="J9" s="69"/>
      <c r="M9" s="42"/>
      <c r="N9" s="43"/>
      <c r="O9" s="57"/>
      <c r="P9" s="42"/>
      <c r="Q9" s="43"/>
      <c r="R9" s="43"/>
      <c r="S9" s="43"/>
      <c r="T9" s="57"/>
      <c r="U9" s="42"/>
      <c r="V9" s="43"/>
      <c r="W9" s="43"/>
      <c r="X9" s="43"/>
      <c r="Y9" s="57"/>
      <c r="Z9" s="42"/>
      <c r="AA9" s="43"/>
      <c r="AB9" s="57"/>
      <c r="AD9" s="8"/>
      <c r="AE9" s="19" t="s">
        <v>13</v>
      </c>
      <c r="AF9" s="35"/>
      <c r="AG9" s="36"/>
      <c r="AH9" s="36"/>
      <c r="AI9" s="36"/>
      <c r="AJ9" s="36"/>
      <c r="AK9" s="36"/>
      <c r="AL9" s="36"/>
      <c r="AM9" s="36"/>
      <c r="AN9" s="36"/>
      <c r="AV9" s="19" t="s">
        <v>14</v>
      </c>
      <c r="AW9" s="35"/>
      <c r="AX9" s="36"/>
      <c r="AY9" s="36"/>
      <c r="AZ9" s="36"/>
      <c r="BA9" s="36"/>
      <c r="BB9" s="36"/>
      <c r="BC9" s="36"/>
      <c r="BD9" s="36"/>
      <c r="BE9" s="36"/>
      <c r="BL9" s="18"/>
      <c r="DA9" s="6" t="s">
        <v>15</v>
      </c>
    </row>
    <row r="10" spans="1:105" ht="14.25" customHeight="1">
      <c r="AD10" s="8"/>
      <c r="AE10" s="37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V10" s="37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18"/>
      <c r="DA10" s="6" t="s">
        <v>17</v>
      </c>
    </row>
    <row r="11" spans="1:105" ht="14.25" customHeight="1">
      <c r="A11" s="39" t="s">
        <v>18</v>
      </c>
      <c r="B11" s="40"/>
      <c r="C11" s="40"/>
      <c r="D11" s="41"/>
      <c r="E11" s="45"/>
      <c r="F11" s="40"/>
      <c r="G11" s="40"/>
      <c r="H11" s="40"/>
      <c r="I11" s="40"/>
      <c r="J11" s="40"/>
      <c r="K11" s="40"/>
      <c r="L11" s="40"/>
      <c r="M11" s="41"/>
      <c r="N11" s="45" t="str">
        <f>IF($CB$2=1,"","勘定店番")</f>
        <v/>
      </c>
      <c r="O11" s="40"/>
      <c r="P11" s="40"/>
      <c r="Q11" s="40"/>
      <c r="R11" s="40"/>
      <c r="S11" s="41"/>
      <c r="T11" s="47"/>
      <c r="U11" s="48"/>
      <c r="V11" s="48"/>
      <c r="W11" s="48"/>
      <c r="X11" s="48"/>
      <c r="Y11" s="48"/>
      <c r="Z11" s="48"/>
      <c r="AA11" s="48"/>
      <c r="AB11" s="49"/>
      <c r="AD11" s="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18"/>
      <c r="DA11" s="6" t="s">
        <v>19</v>
      </c>
    </row>
    <row r="12" spans="1:105" ht="14.25" customHeight="1">
      <c r="A12" s="42"/>
      <c r="B12" s="43"/>
      <c r="C12" s="43"/>
      <c r="D12" s="44"/>
      <c r="E12" s="46"/>
      <c r="F12" s="43"/>
      <c r="G12" s="43"/>
      <c r="H12" s="43"/>
      <c r="I12" s="43"/>
      <c r="J12" s="43"/>
      <c r="K12" s="43"/>
      <c r="L12" s="43"/>
      <c r="M12" s="44"/>
      <c r="N12" s="53" t="str">
        <f>IF($CB$2=1,"","(勘定移管レス先のみ)")</f>
        <v/>
      </c>
      <c r="O12" s="54"/>
      <c r="P12" s="54"/>
      <c r="Q12" s="54"/>
      <c r="R12" s="54"/>
      <c r="S12" s="55"/>
      <c r="T12" s="50"/>
      <c r="U12" s="51"/>
      <c r="V12" s="51"/>
      <c r="W12" s="51"/>
      <c r="X12" s="51"/>
      <c r="Y12" s="51"/>
      <c r="Z12" s="51"/>
      <c r="AA12" s="51"/>
      <c r="AB12" s="52"/>
      <c r="AD12" s="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18"/>
      <c r="DA12" s="6" t="s">
        <v>20</v>
      </c>
    </row>
    <row r="13" spans="1:105" ht="14.25" customHeight="1">
      <c r="A13" s="39" t="s">
        <v>21</v>
      </c>
      <c r="B13" s="40"/>
      <c r="C13" s="40"/>
      <c r="D13" s="41"/>
      <c r="E13" s="45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56"/>
      <c r="AD13" s="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18"/>
      <c r="DA13" s="6" t="s">
        <v>22</v>
      </c>
    </row>
    <row r="14" spans="1:105" ht="14.25" customHeight="1">
      <c r="A14" s="42"/>
      <c r="B14" s="43"/>
      <c r="C14" s="43"/>
      <c r="D14" s="44"/>
      <c r="E14" s="46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57"/>
      <c r="AD14" s="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18"/>
      <c r="DA14" s="6" t="s">
        <v>23</v>
      </c>
    </row>
    <row r="15" spans="1:105" ht="14.25" customHeight="1">
      <c r="A15" s="3"/>
      <c r="B15" s="4" t="s">
        <v>24</v>
      </c>
      <c r="C15" s="4"/>
      <c r="D15" s="4"/>
      <c r="E15" s="4"/>
      <c r="F15" s="4" t="s">
        <v>25</v>
      </c>
      <c r="G15" s="4"/>
      <c r="H15" s="4" t="s">
        <v>26</v>
      </c>
      <c r="I15" s="4"/>
      <c r="J15" s="4" t="s">
        <v>27</v>
      </c>
      <c r="K15" s="4"/>
      <c r="L15" s="4" t="s">
        <v>26</v>
      </c>
      <c r="M15" s="4" t="s">
        <v>28</v>
      </c>
      <c r="N15" s="4"/>
      <c r="O15" s="4"/>
      <c r="P15" s="4" t="s">
        <v>29</v>
      </c>
      <c r="Q15" s="20" t="s">
        <v>30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D15" s="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18"/>
      <c r="DA15" s="6" t="s">
        <v>31</v>
      </c>
    </row>
    <row r="16" spans="1:105" ht="14.25" customHeight="1">
      <c r="A16" s="8"/>
      <c r="AB16" s="18"/>
      <c r="AD16" s="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18"/>
      <c r="DA16" s="6" t="s">
        <v>32</v>
      </c>
    </row>
    <row r="17" spans="1:105" ht="14.25" customHeight="1">
      <c r="A17" s="8"/>
      <c r="B17" s="1" t="s">
        <v>33</v>
      </c>
      <c r="G17" s="1" t="s">
        <v>34</v>
      </c>
      <c r="AB17" s="18"/>
      <c r="AD17" s="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18"/>
      <c r="DA17" s="6" t="s">
        <v>35</v>
      </c>
    </row>
    <row r="18" spans="1:105" ht="14.25" customHeight="1">
      <c r="A18" s="8"/>
      <c r="G18" s="1" t="s">
        <v>36</v>
      </c>
      <c r="AB18" s="18"/>
      <c r="AD18" s="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18"/>
      <c r="DA18" s="6" t="s">
        <v>37</v>
      </c>
    </row>
    <row r="19" spans="1:105" ht="14.25" customHeight="1">
      <c r="A19" s="8"/>
      <c r="AB19" s="18"/>
      <c r="AD19" s="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18"/>
      <c r="DA19" s="6" t="s">
        <v>38</v>
      </c>
    </row>
    <row r="20" spans="1:105" ht="14.25" customHeight="1">
      <c r="A20" s="8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18"/>
      <c r="AD20" s="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18"/>
      <c r="DA20" s="6" t="s">
        <v>40</v>
      </c>
    </row>
    <row r="21" spans="1:105" ht="14.25" customHeight="1">
      <c r="A21" s="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18"/>
      <c r="AD21" s="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18"/>
      <c r="DA21" s="6" t="s">
        <v>41</v>
      </c>
    </row>
    <row r="22" spans="1:105" ht="14.25" customHeight="1">
      <c r="A22" s="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18"/>
      <c r="AD22" s="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18"/>
      <c r="DA22" s="6" t="s">
        <v>42</v>
      </c>
    </row>
    <row r="23" spans="1:105" ht="14.25" customHeight="1">
      <c r="A23" s="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18"/>
      <c r="AD23" s="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18"/>
      <c r="DA23" s="6" t="s">
        <v>43</v>
      </c>
    </row>
    <row r="24" spans="1:105" ht="14.25" customHeight="1">
      <c r="A24" s="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18"/>
      <c r="AD24" s="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18"/>
      <c r="DA24" s="6" t="s">
        <v>44</v>
      </c>
    </row>
    <row r="25" spans="1:105" ht="14.25" customHeight="1">
      <c r="A25" s="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18"/>
      <c r="AD25" s="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18"/>
      <c r="DA25" s="6" t="s">
        <v>45</v>
      </c>
    </row>
    <row r="26" spans="1:105" ht="4.5" customHeight="1">
      <c r="A26" s="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18"/>
      <c r="AD26" s="8"/>
      <c r="BL26" s="18"/>
      <c r="DA26" s="6" t="s">
        <v>46</v>
      </c>
    </row>
    <row r="27" spans="1:105" ht="13.5" customHeight="1">
      <c r="A27" s="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18"/>
      <c r="AD27" s="8"/>
      <c r="AE27" s="19" t="s">
        <v>47</v>
      </c>
      <c r="AF27" s="35"/>
      <c r="AG27" s="36"/>
      <c r="AH27" s="36"/>
      <c r="AI27" s="36"/>
      <c r="AJ27" s="36"/>
      <c r="AK27" s="36"/>
      <c r="AL27" s="36"/>
      <c r="AM27" s="36"/>
      <c r="AN27" s="36"/>
      <c r="AV27" s="19" t="s">
        <v>48</v>
      </c>
      <c r="AW27" s="35"/>
      <c r="AX27" s="36"/>
      <c r="AY27" s="36"/>
      <c r="AZ27" s="36"/>
      <c r="BA27" s="36"/>
      <c r="BB27" s="36"/>
      <c r="BC27" s="36"/>
      <c r="BD27" s="36"/>
      <c r="BE27" s="36"/>
      <c r="BL27" s="18"/>
      <c r="DA27" s="6" t="s">
        <v>49</v>
      </c>
    </row>
    <row r="28" spans="1:105" ht="14.25" customHeight="1">
      <c r="A28" s="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18"/>
      <c r="AD28" s="8"/>
      <c r="AE28" s="37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V28" s="37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18"/>
    </row>
    <row r="29" spans="1:105" ht="14.25" customHeight="1">
      <c r="A29" s="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18"/>
      <c r="AD29" s="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18"/>
    </row>
    <row r="30" spans="1:105" ht="14.25" customHeight="1">
      <c r="A30" s="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18"/>
      <c r="AD30" s="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18"/>
    </row>
    <row r="31" spans="1:105" ht="14.25" customHeight="1">
      <c r="A31" s="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18"/>
      <c r="AD31" s="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18"/>
    </row>
    <row r="32" spans="1:105" ht="14.25" customHeight="1">
      <c r="A32" s="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18"/>
      <c r="AD32" s="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18"/>
    </row>
    <row r="33" spans="1:64" ht="14.25" customHeight="1">
      <c r="A33" s="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18"/>
      <c r="AD33" s="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18"/>
    </row>
    <row r="34" spans="1:64" ht="14.25" customHeight="1">
      <c r="A34" s="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18"/>
      <c r="AD34" s="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18"/>
    </row>
    <row r="35" spans="1:64" ht="14.25" customHeight="1">
      <c r="A35" s="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18"/>
      <c r="AD35" s="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18"/>
    </row>
    <row r="36" spans="1:64" ht="14.25" customHeight="1">
      <c r="A36" s="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18"/>
      <c r="AD36" s="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8"/>
    </row>
    <row r="37" spans="1:64" ht="14.25" customHeight="1">
      <c r="A37" s="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18"/>
      <c r="AD37" s="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8"/>
    </row>
    <row r="38" spans="1:64" ht="14.25" customHeight="1">
      <c r="A38" s="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18"/>
      <c r="AD38" s="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8"/>
    </row>
    <row r="39" spans="1:64" ht="14.25" customHeight="1">
      <c r="A39" s="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18"/>
      <c r="AD39" s="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8"/>
    </row>
    <row r="40" spans="1:64" ht="14.25" customHeight="1">
      <c r="A40" s="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18"/>
      <c r="AD40" s="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8"/>
    </row>
    <row r="41" spans="1:64" ht="14.25" customHeight="1">
      <c r="A41" s="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18"/>
      <c r="AD41" s="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8"/>
    </row>
    <row r="42" spans="1:64" ht="14.25" customHeight="1">
      <c r="A42" s="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18"/>
      <c r="AD42" s="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8"/>
    </row>
    <row r="43" spans="1:64" ht="14.25" customHeight="1">
      <c r="A43" s="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18"/>
      <c r="AD43" s="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8"/>
    </row>
    <row r="44" spans="1:64" ht="4.5" customHeight="1">
      <c r="A44" s="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18"/>
      <c r="AD44" s="8"/>
      <c r="BL44" s="18"/>
    </row>
    <row r="45" spans="1:64" ht="13.5" customHeight="1">
      <c r="A45" s="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18"/>
      <c r="AD45" s="8"/>
      <c r="AE45" s="19" t="s">
        <v>50</v>
      </c>
      <c r="AF45" s="35"/>
      <c r="AG45" s="36"/>
      <c r="AH45" s="36"/>
      <c r="AI45" s="36"/>
      <c r="AJ45" s="36"/>
      <c r="AK45" s="36"/>
      <c r="AL45" s="36"/>
      <c r="AM45" s="36"/>
      <c r="AN45" s="36"/>
      <c r="AV45" s="19" t="s">
        <v>51</v>
      </c>
      <c r="AW45" s="35"/>
      <c r="AX45" s="36"/>
      <c r="AY45" s="36"/>
      <c r="AZ45" s="36"/>
      <c r="BA45" s="36"/>
      <c r="BB45" s="36"/>
      <c r="BC45" s="36"/>
      <c r="BD45" s="36"/>
      <c r="BE45" s="36"/>
      <c r="BL45" s="18"/>
    </row>
    <row r="46" spans="1:64" ht="14.25" customHeight="1">
      <c r="A46" s="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18"/>
      <c r="AD46" s="8"/>
      <c r="AE46" s="37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V46" s="37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8"/>
    </row>
    <row r="47" spans="1:64" ht="14.25" customHeight="1">
      <c r="A47" s="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18"/>
      <c r="AD47" s="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18"/>
    </row>
    <row r="48" spans="1:64" ht="14.25" customHeight="1">
      <c r="A48" s="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18"/>
      <c r="AD48" s="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18"/>
    </row>
    <row r="49" spans="1:105" ht="14.25" customHeight="1">
      <c r="A49" s="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18"/>
      <c r="AD49" s="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18"/>
    </row>
    <row r="50" spans="1:105" ht="14.25" customHeight="1">
      <c r="A50" s="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18"/>
      <c r="AD50" s="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18"/>
    </row>
    <row r="51" spans="1:105" ht="14.25" customHeight="1">
      <c r="A51" s="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18"/>
      <c r="AD51" s="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18"/>
    </row>
    <row r="52" spans="1:105" ht="14.25" customHeight="1">
      <c r="A52" s="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18"/>
      <c r="AD52" s="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18"/>
    </row>
    <row r="53" spans="1:105" ht="14.25" customHeight="1">
      <c r="A53" s="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18"/>
      <c r="AD53" s="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18"/>
    </row>
    <row r="54" spans="1:105" ht="14.25" customHeight="1">
      <c r="A54" s="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18"/>
      <c r="AD54" s="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18"/>
    </row>
    <row r="55" spans="1:105" ht="14.25" customHeight="1">
      <c r="A55" s="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18"/>
      <c r="AD55" s="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18"/>
    </row>
    <row r="56" spans="1:105" ht="14.25" customHeight="1">
      <c r="A56" s="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18"/>
      <c r="AD56" s="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18"/>
    </row>
    <row r="57" spans="1:105" ht="14.25" customHeight="1">
      <c r="A57" s="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18"/>
      <c r="AD57" s="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18"/>
    </row>
    <row r="58" spans="1:105" ht="14.25" customHeight="1">
      <c r="A58" s="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18"/>
      <c r="AD58" s="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18"/>
    </row>
    <row r="59" spans="1:105" ht="14.25" customHeight="1">
      <c r="A59" s="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18"/>
      <c r="AD59" s="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18"/>
    </row>
    <row r="60" spans="1:105" ht="14.25" customHeight="1">
      <c r="A60" s="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18"/>
      <c r="AD60" s="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18"/>
    </row>
    <row r="61" spans="1:105" ht="14.25" customHeight="1">
      <c r="A61" s="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18"/>
      <c r="AD61" s="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18"/>
    </row>
    <row r="62" spans="1:105" ht="5.25" customHeight="1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3"/>
      <c r="AD62" s="21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3"/>
    </row>
    <row r="63" spans="1:105" ht="7.5" customHeight="1"/>
    <row r="64" spans="1:105" ht="22">
      <c r="A64" s="2" t="s">
        <v>0</v>
      </c>
      <c r="M64" s="62">
        <f>$M$2</f>
        <v>2</v>
      </c>
      <c r="N64" s="62"/>
      <c r="AD64" s="3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 t="str">
        <f>IF($BB$2="","",$BB$2)</f>
        <v/>
      </c>
      <c r="BC64" s="26"/>
      <c r="BD64" s="26"/>
      <c r="BE64" s="26"/>
      <c r="BF64" s="27"/>
      <c r="BG64" s="26">
        <f>$BG$2</f>
        <v>3159205</v>
      </c>
      <c r="BH64" s="26"/>
      <c r="BI64" s="26"/>
      <c r="BJ64" s="26"/>
      <c r="BK64" s="26"/>
      <c r="BL64" s="5"/>
      <c r="DA64" s="6"/>
    </row>
    <row r="65" spans="1:105" ht="7.5" customHeight="1">
      <c r="A65" s="7"/>
      <c r="AD65" s="8"/>
      <c r="AE65" s="9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1"/>
      <c r="AQ65" s="9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2"/>
      <c r="DA65" s="6"/>
    </row>
    <row r="66" spans="1:105" ht="18">
      <c r="M66" s="28" t="s">
        <v>3</v>
      </c>
      <c r="N66" s="29"/>
      <c r="O66" s="30"/>
      <c r="P66" s="28" t="str">
        <f>$P$4</f>
        <v>勘定店名</v>
      </c>
      <c r="Q66" s="29"/>
      <c r="R66" s="29"/>
      <c r="S66" s="29"/>
      <c r="T66" s="30"/>
      <c r="U66" s="28" t="s">
        <v>4</v>
      </c>
      <c r="V66" s="29"/>
      <c r="W66" s="29"/>
      <c r="X66" s="29"/>
      <c r="Y66" s="30"/>
      <c r="Z66" s="28" t="s">
        <v>5</v>
      </c>
      <c r="AA66" s="29"/>
      <c r="AB66" s="30"/>
      <c r="AD66" s="8"/>
      <c r="AE66" s="13"/>
      <c r="AF66" s="1" t="s">
        <v>6</v>
      </c>
      <c r="AJ66" s="67">
        <f>$AJ$4</f>
        <v>45860</v>
      </c>
      <c r="AK66" s="67"/>
      <c r="AL66" s="67"/>
      <c r="AM66" s="67"/>
      <c r="AN66" s="67"/>
      <c r="AO66" s="67"/>
      <c r="AP66" s="68"/>
      <c r="AQ66" s="13"/>
      <c r="AR66" s="1" t="s">
        <v>7</v>
      </c>
      <c r="AV66" s="33" t="str">
        <f>$AV$4</f>
        <v>埼玉県秩父郡小鹿野町両神薄字中原里248-2</v>
      </c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4"/>
      <c r="DA66" s="6"/>
    </row>
    <row r="67" spans="1:105" ht="7.5" customHeight="1">
      <c r="M67" s="39">
        <f>IF(M5="","",M5)</f>
        <v>584</v>
      </c>
      <c r="N67" s="40"/>
      <c r="O67" s="56"/>
      <c r="P67" s="39" t="str">
        <f>IF(P5="","",P5)</f>
        <v>秩父</v>
      </c>
      <c r="Q67" s="40"/>
      <c r="R67" s="40"/>
      <c r="S67" s="40"/>
      <c r="T67" s="56"/>
      <c r="U67" s="39" t="str">
        <f>IF(U5="","",U5)</f>
        <v/>
      </c>
      <c r="V67" s="40"/>
      <c r="W67" s="40"/>
      <c r="X67" s="40"/>
      <c r="Y67" s="56"/>
      <c r="Z67" s="39" t="str">
        <f>IF(Z5="","",Z5)</f>
        <v/>
      </c>
      <c r="AA67" s="40"/>
      <c r="AB67" s="56"/>
      <c r="AD67" s="8"/>
      <c r="AE67" s="14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6"/>
      <c r="AQ67" s="14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7"/>
      <c r="DA67" s="6"/>
    </row>
    <row r="68" spans="1:105" ht="7.5" customHeight="1">
      <c r="M68" s="58"/>
      <c r="N68" s="59"/>
      <c r="O68" s="60"/>
      <c r="P68" s="58"/>
      <c r="Q68" s="59"/>
      <c r="R68" s="59"/>
      <c r="S68" s="59"/>
      <c r="T68" s="60"/>
      <c r="U68" s="58"/>
      <c r="V68" s="59"/>
      <c r="W68" s="59"/>
      <c r="X68" s="59"/>
      <c r="Y68" s="60"/>
      <c r="Z68" s="58"/>
      <c r="AA68" s="59"/>
      <c r="AB68" s="60"/>
      <c r="AD68" s="8"/>
      <c r="BL68" s="18"/>
      <c r="DA68" s="6"/>
    </row>
    <row r="69" spans="1:105" ht="7.5" customHeight="1">
      <c r="M69" s="58"/>
      <c r="N69" s="59"/>
      <c r="O69" s="60"/>
      <c r="P69" s="58"/>
      <c r="Q69" s="59"/>
      <c r="R69" s="59"/>
      <c r="S69" s="59"/>
      <c r="T69" s="60"/>
      <c r="U69" s="58"/>
      <c r="V69" s="59"/>
      <c r="W69" s="59"/>
      <c r="X69" s="59"/>
      <c r="Y69" s="60"/>
      <c r="Z69" s="58"/>
      <c r="AA69" s="59"/>
      <c r="AB69" s="60"/>
      <c r="AD69" s="8"/>
      <c r="BL69" s="18"/>
      <c r="DA69" s="6"/>
    </row>
    <row r="70" spans="1:105" ht="18">
      <c r="M70" s="58"/>
      <c r="N70" s="59"/>
      <c r="O70" s="60"/>
      <c r="P70" s="58"/>
      <c r="Q70" s="59"/>
      <c r="R70" s="59"/>
      <c r="S70" s="59"/>
      <c r="T70" s="60"/>
      <c r="U70" s="58"/>
      <c r="V70" s="59"/>
      <c r="W70" s="59"/>
      <c r="X70" s="59"/>
      <c r="Y70" s="60"/>
      <c r="Z70" s="58"/>
      <c r="AA70" s="59"/>
      <c r="AB70" s="60"/>
      <c r="AD70" s="8"/>
      <c r="BL70" s="18"/>
      <c r="DA70" s="6"/>
    </row>
    <row r="71" spans="1:105" ht="18">
      <c r="B71" s="69">
        <f>$B$9</f>
        <v>45860</v>
      </c>
      <c r="C71" s="69"/>
      <c r="D71" s="69"/>
      <c r="E71" s="69"/>
      <c r="F71" s="69"/>
      <c r="G71" s="69"/>
      <c r="H71" s="69"/>
      <c r="I71" s="69"/>
      <c r="J71" s="69"/>
      <c r="M71" s="42"/>
      <c r="N71" s="43"/>
      <c r="O71" s="57"/>
      <c r="P71" s="42"/>
      <c r="Q71" s="43"/>
      <c r="R71" s="43"/>
      <c r="S71" s="43"/>
      <c r="T71" s="57"/>
      <c r="U71" s="42"/>
      <c r="V71" s="43"/>
      <c r="W71" s="43"/>
      <c r="X71" s="43"/>
      <c r="Y71" s="57"/>
      <c r="Z71" s="42"/>
      <c r="AA71" s="43"/>
      <c r="AB71" s="57"/>
      <c r="AD71" s="8"/>
      <c r="AE71" s="19" t="s">
        <v>52</v>
      </c>
      <c r="AF71" s="35"/>
      <c r="AG71" s="36"/>
      <c r="AH71" s="36"/>
      <c r="AI71" s="36"/>
      <c r="AJ71" s="36"/>
      <c r="AK71" s="36"/>
      <c r="AL71" s="36"/>
      <c r="AM71" s="36"/>
      <c r="AN71" s="36"/>
      <c r="AV71" s="19" t="s">
        <v>53</v>
      </c>
      <c r="AW71" s="35"/>
      <c r="AX71" s="36"/>
      <c r="AY71" s="36"/>
      <c r="AZ71" s="36"/>
      <c r="BA71" s="36"/>
      <c r="BB71" s="36"/>
      <c r="BC71" s="36"/>
      <c r="BD71" s="36"/>
      <c r="BE71" s="36"/>
      <c r="BL71" s="18"/>
      <c r="DA71" s="6"/>
    </row>
    <row r="72" spans="1:105" ht="14.25" customHeight="1">
      <c r="AD72" s="8"/>
      <c r="AE72" s="37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V72" s="37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18"/>
      <c r="DA72" s="6"/>
    </row>
    <row r="73" spans="1:105" ht="14.25" customHeight="1">
      <c r="A73" s="39" t="str">
        <f>$A$11</f>
        <v>CIF</v>
      </c>
      <c r="B73" s="40"/>
      <c r="C73" s="40"/>
      <c r="D73" s="41"/>
      <c r="E73" s="45" t="str">
        <f>IF($E$11="","",$E$11)</f>
        <v/>
      </c>
      <c r="F73" s="40"/>
      <c r="G73" s="40"/>
      <c r="H73" s="40"/>
      <c r="I73" s="40"/>
      <c r="J73" s="40"/>
      <c r="K73" s="40"/>
      <c r="L73" s="40"/>
      <c r="M73" s="41"/>
      <c r="N73" s="45" t="str">
        <f>$N$11</f>
        <v/>
      </c>
      <c r="O73" s="40"/>
      <c r="P73" s="40"/>
      <c r="Q73" s="40"/>
      <c r="R73" s="40"/>
      <c r="S73" s="41"/>
      <c r="T73" s="47" t="str">
        <f>IF($T$11="","",$T$11)</f>
        <v/>
      </c>
      <c r="U73" s="48"/>
      <c r="V73" s="48"/>
      <c r="W73" s="48"/>
      <c r="X73" s="48"/>
      <c r="Y73" s="48"/>
      <c r="Z73" s="48"/>
      <c r="AA73" s="48"/>
      <c r="AB73" s="49"/>
      <c r="AD73" s="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18"/>
      <c r="DA73" s="6"/>
    </row>
    <row r="74" spans="1:105" ht="14.25" customHeight="1">
      <c r="A74" s="42"/>
      <c r="B74" s="43"/>
      <c r="C74" s="43"/>
      <c r="D74" s="44"/>
      <c r="E74" s="46"/>
      <c r="F74" s="43"/>
      <c r="G74" s="43"/>
      <c r="H74" s="43"/>
      <c r="I74" s="43"/>
      <c r="J74" s="43"/>
      <c r="K74" s="43"/>
      <c r="L74" s="43"/>
      <c r="M74" s="44"/>
      <c r="N74" s="53" t="str">
        <f>$N$12</f>
        <v/>
      </c>
      <c r="O74" s="54"/>
      <c r="P74" s="54"/>
      <c r="Q74" s="54"/>
      <c r="R74" s="54"/>
      <c r="S74" s="55"/>
      <c r="T74" s="50"/>
      <c r="U74" s="51"/>
      <c r="V74" s="51"/>
      <c r="W74" s="51"/>
      <c r="X74" s="51"/>
      <c r="Y74" s="51"/>
      <c r="Z74" s="51"/>
      <c r="AA74" s="51"/>
      <c r="AB74" s="52"/>
      <c r="AD74" s="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18"/>
      <c r="DA74" s="6"/>
    </row>
    <row r="75" spans="1:105" ht="14.25" customHeight="1">
      <c r="A75" s="39" t="str">
        <f>$A$13</f>
        <v>債務者名</v>
      </c>
      <c r="B75" s="40"/>
      <c r="C75" s="40"/>
      <c r="D75" s="41"/>
      <c r="E75" s="45" t="str">
        <f>IF($E$13="","",$E$13)</f>
        <v/>
      </c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56"/>
      <c r="AD75" s="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18"/>
      <c r="DA75" s="6"/>
    </row>
    <row r="76" spans="1:105" ht="14.25" customHeight="1">
      <c r="A76" s="42"/>
      <c r="B76" s="43"/>
      <c r="C76" s="43"/>
      <c r="D76" s="44"/>
      <c r="E76" s="46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57"/>
      <c r="AD76" s="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18"/>
      <c r="DA76" s="6"/>
    </row>
    <row r="77" spans="1:105" ht="14.25" customHeight="1">
      <c r="A77" s="3"/>
      <c r="B77" s="4" t="s">
        <v>24</v>
      </c>
      <c r="C77" s="4"/>
      <c r="D77" s="4"/>
      <c r="E77" s="4"/>
      <c r="F77" s="4" t="s">
        <v>25</v>
      </c>
      <c r="G77" s="4"/>
      <c r="H77" s="4" t="s">
        <v>26</v>
      </c>
      <c r="I77" s="4"/>
      <c r="J77" s="4" t="s">
        <v>27</v>
      </c>
      <c r="K77" s="4"/>
      <c r="L77" s="4" t="s">
        <v>26</v>
      </c>
      <c r="M77" s="4" t="s">
        <v>28</v>
      </c>
      <c r="N77" s="4"/>
      <c r="O77" s="4"/>
      <c r="P77" s="4" t="s">
        <v>29</v>
      </c>
      <c r="Q77" s="20" t="s">
        <v>30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D77" s="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18"/>
      <c r="DA77" s="6"/>
    </row>
    <row r="78" spans="1:105" ht="14.25" customHeight="1">
      <c r="A78" s="8"/>
      <c r="AB78" s="18"/>
      <c r="AD78" s="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18"/>
      <c r="DA78" s="6"/>
    </row>
    <row r="79" spans="1:105" ht="14.25" customHeight="1">
      <c r="A79" s="8"/>
      <c r="B79" s="1" t="s">
        <v>33</v>
      </c>
      <c r="G79" s="1" t="s">
        <v>34</v>
      </c>
      <c r="AB79" s="18"/>
      <c r="AD79" s="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18"/>
      <c r="DA79" s="6"/>
    </row>
    <row r="80" spans="1:105" ht="14.25" customHeight="1">
      <c r="A80" s="8"/>
      <c r="G80" s="1" t="s">
        <v>36</v>
      </c>
      <c r="AB80" s="18"/>
      <c r="AD80" s="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18"/>
      <c r="DA80" s="6"/>
    </row>
    <row r="81" spans="1:105" ht="14.25" customHeight="1">
      <c r="A81" s="8"/>
      <c r="AB81" s="18"/>
      <c r="AD81" s="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18"/>
      <c r="DA81" s="6"/>
    </row>
    <row r="82" spans="1:105" ht="14.25" customHeight="1">
      <c r="A82" s="8"/>
      <c r="B82" s="37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18"/>
      <c r="AD82" s="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18"/>
      <c r="DA82" s="6"/>
    </row>
    <row r="83" spans="1:105" ht="14.25" customHeight="1">
      <c r="A83" s="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18"/>
      <c r="AD83" s="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18"/>
      <c r="DA83" s="6"/>
    </row>
    <row r="84" spans="1:105" ht="14.25" customHeight="1">
      <c r="A84" s="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18"/>
      <c r="AD84" s="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18"/>
      <c r="DA84" s="6"/>
    </row>
    <row r="85" spans="1:105" ht="14.25" customHeight="1">
      <c r="A85" s="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18"/>
      <c r="AD85" s="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18"/>
      <c r="DA85" s="6"/>
    </row>
    <row r="86" spans="1:105" ht="14.25" customHeight="1">
      <c r="A86" s="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18"/>
      <c r="AD86" s="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18"/>
      <c r="DA86" s="6"/>
    </row>
    <row r="87" spans="1:105" ht="14.25" customHeight="1">
      <c r="A87" s="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18"/>
      <c r="AD87" s="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18"/>
      <c r="DA87" s="6"/>
    </row>
    <row r="88" spans="1:105" ht="4.5" customHeight="1">
      <c r="A88" s="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18"/>
      <c r="AD88" s="8"/>
      <c r="BL88" s="18"/>
      <c r="DA88" s="6"/>
    </row>
    <row r="89" spans="1:105" ht="13.5" customHeight="1">
      <c r="A89" s="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18"/>
      <c r="AD89" s="8"/>
      <c r="AE89" s="19"/>
      <c r="AF89" s="35"/>
      <c r="AG89" s="36"/>
      <c r="AH89" s="36"/>
      <c r="AI89" s="36"/>
      <c r="AJ89" s="36"/>
      <c r="AK89" s="36"/>
      <c r="AL89" s="36"/>
      <c r="AM89" s="36"/>
      <c r="AN89" s="36"/>
      <c r="AV89" s="19"/>
      <c r="AW89" s="35"/>
      <c r="AX89" s="36"/>
      <c r="AY89" s="36"/>
      <c r="AZ89" s="36"/>
      <c r="BA89" s="36"/>
      <c r="BB89" s="36"/>
      <c r="BC89" s="36"/>
      <c r="BD89" s="36"/>
      <c r="BE89" s="36"/>
      <c r="BL89" s="18"/>
      <c r="DA89" s="6"/>
    </row>
    <row r="90" spans="1:105" ht="14.25" customHeight="1">
      <c r="A90" s="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18"/>
      <c r="AD90" s="8"/>
      <c r="AE90" s="37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V90" s="37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18"/>
    </row>
    <row r="91" spans="1:105" ht="14.25" customHeight="1">
      <c r="A91" s="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18"/>
      <c r="AD91" s="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18"/>
    </row>
    <row r="92" spans="1:105" ht="14.25" customHeight="1">
      <c r="A92" s="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18"/>
      <c r="AD92" s="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18"/>
    </row>
    <row r="93" spans="1:105" ht="14.25" customHeight="1">
      <c r="A93" s="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18"/>
      <c r="AD93" s="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18"/>
    </row>
    <row r="94" spans="1:105" ht="14.25" customHeight="1">
      <c r="A94" s="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18"/>
      <c r="AD94" s="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18"/>
    </row>
    <row r="95" spans="1:105" ht="14.25" customHeight="1">
      <c r="A95" s="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18"/>
      <c r="AD95" s="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18"/>
    </row>
    <row r="96" spans="1:105" ht="14.25" customHeight="1">
      <c r="A96" s="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18"/>
      <c r="AD96" s="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18"/>
    </row>
    <row r="97" spans="1:64" ht="14.25" customHeight="1">
      <c r="A97" s="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18"/>
      <c r="AD97" s="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18"/>
    </row>
    <row r="98" spans="1:64" ht="14.25" customHeight="1">
      <c r="A98" s="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18"/>
      <c r="AD98" s="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18"/>
    </row>
    <row r="99" spans="1:64" ht="14.25" customHeight="1">
      <c r="A99" s="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8"/>
      <c r="AD99" s="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18"/>
    </row>
    <row r="100" spans="1:64" ht="14.25" customHeight="1">
      <c r="A100" s="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8"/>
      <c r="AD100" s="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18"/>
    </row>
    <row r="101" spans="1:64" ht="14.25" customHeight="1">
      <c r="A101" s="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8"/>
      <c r="AD101" s="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18"/>
    </row>
    <row r="102" spans="1:64" ht="14.25" customHeight="1">
      <c r="A102" s="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8"/>
      <c r="AD102" s="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18"/>
    </row>
    <row r="103" spans="1:64" ht="14.25" customHeight="1">
      <c r="A103" s="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8"/>
      <c r="AD103" s="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18"/>
    </row>
    <row r="104" spans="1:64" ht="14.25" customHeight="1">
      <c r="A104" s="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8"/>
      <c r="AD104" s="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18"/>
    </row>
    <row r="105" spans="1:64" ht="14.25" customHeight="1">
      <c r="A105" s="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8"/>
      <c r="AD105" s="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18"/>
    </row>
    <row r="106" spans="1:64" ht="4.5" customHeight="1">
      <c r="A106" s="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8"/>
      <c r="AD106" s="8"/>
      <c r="BL106" s="18"/>
    </row>
    <row r="107" spans="1:64" ht="13.5" customHeight="1">
      <c r="A107" s="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8"/>
      <c r="AD107" s="8"/>
      <c r="AE107" s="19"/>
      <c r="AF107" s="35"/>
      <c r="AG107" s="36"/>
      <c r="AH107" s="36"/>
      <c r="AI107" s="36"/>
      <c r="AJ107" s="36"/>
      <c r="AK107" s="36"/>
      <c r="AL107" s="36"/>
      <c r="AM107" s="36"/>
      <c r="AN107" s="36"/>
      <c r="AV107" s="19"/>
      <c r="AW107" s="35"/>
      <c r="AX107" s="36"/>
      <c r="AY107" s="36"/>
      <c r="AZ107" s="36"/>
      <c r="BA107" s="36"/>
      <c r="BB107" s="36"/>
      <c r="BC107" s="36"/>
      <c r="BD107" s="36"/>
      <c r="BE107" s="36"/>
      <c r="BL107" s="18"/>
    </row>
    <row r="108" spans="1:64" ht="14.25" customHeight="1">
      <c r="A108" s="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"/>
      <c r="AD108" s="8"/>
      <c r="AE108" s="37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V108" s="37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18"/>
    </row>
    <row r="109" spans="1:64" ht="14.25" customHeight="1">
      <c r="A109" s="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8"/>
      <c r="AD109" s="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18"/>
    </row>
    <row r="110" spans="1:64" ht="14.25" customHeight="1">
      <c r="A110" s="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18"/>
      <c r="AD110" s="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18"/>
    </row>
    <row r="111" spans="1:64" ht="14.25" customHeight="1">
      <c r="A111" s="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"/>
      <c r="AD111" s="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18"/>
    </row>
    <row r="112" spans="1:64" ht="14.25" customHeight="1">
      <c r="A112" s="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8"/>
      <c r="AD112" s="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18"/>
    </row>
    <row r="113" spans="1:105" ht="14.25" customHeight="1">
      <c r="A113" s="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8"/>
      <c r="AD113" s="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18"/>
    </row>
    <row r="114" spans="1:105" ht="14.25" customHeight="1">
      <c r="A114" s="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8"/>
      <c r="AD114" s="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18"/>
    </row>
    <row r="115" spans="1:105" ht="14.25" customHeight="1">
      <c r="A115" s="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"/>
      <c r="AD115" s="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18"/>
    </row>
    <row r="116" spans="1:105" ht="14.25" customHeight="1">
      <c r="A116" s="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18"/>
      <c r="AD116" s="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18"/>
    </row>
    <row r="117" spans="1:105" ht="14.25" customHeight="1">
      <c r="A117" s="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18"/>
      <c r="AD117" s="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18"/>
    </row>
    <row r="118" spans="1:105" ht="14.25" customHeight="1">
      <c r="A118" s="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"/>
      <c r="AD118" s="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18"/>
    </row>
    <row r="119" spans="1:105" ht="14.25" customHeight="1">
      <c r="A119" s="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18"/>
      <c r="AD119" s="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18"/>
    </row>
    <row r="120" spans="1:105" ht="14.25" customHeight="1">
      <c r="A120" s="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18"/>
      <c r="AD120" s="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18"/>
    </row>
    <row r="121" spans="1:105" ht="14.25" customHeight="1">
      <c r="A121" s="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"/>
      <c r="AD121" s="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18"/>
    </row>
    <row r="122" spans="1:105" ht="14.25" customHeight="1">
      <c r="A122" s="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18"/>
      <c r="AD122" s="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18"/>
    </row>
    <row r="123" spans="1:105" ht="14.25" customHeight="1">
      <c r="A123" s="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18"/>
      <c r="AD123" s="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18"/>
    </row>
    <row r="124" spans="1:105" ht="5.25" customHeight="1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3"/>
      <c r="AD124" s="21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3"/>
    </row>
    <row r="125" spans="1:105" ht="7.5" customHeight="1"/>
    <row r="126" spans="1:105" ht="22">
      <c r="A126" s="2" t="s">
        <v>0</v>
      </c>
      <c r="M126" s="63">
        <f>$M$2</f>
        <v>2</v>
      </c>
      <c r="N126" s="63"/>
      <c r="AD126" s="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 t="str">
        <f>IF($BB$2="","",$BB$2)</f>
        <v/>
      </c>
      <c r="BC126" s="26"/>
      <c r="BD126" s="26"/>
      <c r="BE126" s="26"/>
      <c r="BF126" s="27"/>
      <c r="BG126" s="26">
        <f>$BG$2</f>
        <v>3159205</v>
      </c>
      <c r="BH126" s="26"/>
      <c r="BI126" s="26"/>
      <c r="BJ126" s="26"/>
      <c r="BK126" s="26"/>
      <c r="BL126" s="5"/>
      <c r="DA126" s="6"/>
    </row>
    <row r="127" spans="1:105" ht="7.5" customHeight="1">
      <c r="A127" s="7"/>
      <c r="AD127" s="8"/>
      <c r="AE127" s="9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1"/>
      <c r="AQ127" s="9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2"/>
      <c r="DA127" s="6"/>
    </row>
    <row r="128" spans="1:105" ht="18">
      <c r="M128" s="28" t="s">
        <v>3</v>
      </c>
      <c r="N128" s="29"/>
      <c r="O128" s="30"/>
      <c r="P128" s="28" t="str">
        <f>$P$4</f>
        <v>勘定店名</v>
      </c>
      <c r="Q128" s="29"/>
      <c r="R128" s="29"/>
      <c r="S128" s="29"/>
      <c r="T128" s="30"/>
      <c r="U128" s="28" t="s">
        <v>4</v>
      </c>
      <c r="V128" s="29"/>
      <c r="W128" s="29"/>
      <c r="X128" s="29"/>
      <c r="Y128" s="30"/>
      <c r="Z128" s="28" t="s">
        <v>5</v>
      </c>
      <c r="AA128" s="29"/>
      <c r="AB128" s="30"/>
      <c r="AD128" s="8"/>
      <c r="AE128" s="13"/>
      <c r="AF128" s="1" t="s">
        <v>6</v>
      </c>
      <c r="AJ128" s="67">
        <f>$AJ$4</f>
        <v>45860</v>
      </c>
      <c r="AK128" s="67"/>
      <c r="AL128" s="67"/>
      <c r="AM128" s="67"/>
      <c r="AN128" s="67"/>
      <c r="AO128" s="67"/>
      <c r="AP128" s="68"/>
      <c r="AQ128" s="13"/>
      <c r="AR128" s="1" t="s">
        <v>7</v>
      </c>
      <c r="AV128" s="33" t="str">
        <f>$AV$4</f>
        <v>埼玉県秩父郡小鹿野町両神薄字中原里248-2</v>
      </c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4"/>
      <c r="DA128" s="6"/>
    </row>
    <row r="129" spans="1:105" ht="7.5" customHeight="1">
      <c r="M129" s="39">
        <f>IF(M5="","",M5)</f>
        <v>584</v>
      </c>
      <c r="N129" s="40"/>
      <c r="O129" s="56"/>
      <c r="P129" s="39" t="str">
        <f>IF(P5="","",P5)</f>
        <v>秩父</v>
      </c>
      <c r="Q129" s="40"/>
      <c r="R129" s="40"/>
      <c r="S129" s="40"/>
      <c r="T129" s="56"/>
      <c r="U129" s="39" t="str">
        <f>IF(U5="","",U5)</f>
        <v/>
      </c>
      <c r="V129" s="40"/>
      <c r="W129" s="40"/>
      <c r="X129" s="40"/>
      <c r="Y129" s="56"/>
      <c r="Z129" s="39" t="str">
        <f>IF(Z5="","",Z5)</f>
        <v/>
      </c>
      <c r="AA129" s="40"/>
      <c r="AB129" s="56"/>
      <c r="AD129" s="8"/>
      <c r="AE129" s="14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6"/>
      <c r="AQ129" s="14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7"/>
      <c r="DA129" s="6"/>
    </row>
    <row r="130" spans="1:105" ht="7.5" customHeight="1">
      <c r="M130" s="58"/>
      <c r="N130" s="59"/>
      <c r="O130" s="60"/>
      <c r="P130" s="58"/>
      <c r="Q130" s="59"/>
      <c r="R130" s="59"/>
      <c r="S130" s="59"/>
      <c r="T130" s="60"/>
      <c r="U130" s="58"/>
      <c r="V130" s="59"/>
      <c r="W130" s="59"/>
      <c r="X130" s="59"/>
      <c r="Y130" s="60"/>
      <c r="Z130" s="58"/>
      <c r="AA130" s="59"/>
      <c r="AB130" s="60"/>
      <c r="AD130" s="8"/>
      <c r="BL130" s="18"/>
      <c r="DA130" s="6"/>
    </row>
    <row r="131" spans="1:105" ht="7.5" customHeight="1">
      <c r="M131" s="58"/>
      <c r="N131" s="59"/>
      <c r="O131" s="60"/>
      <c r="P131" s="58"/>
      <c r="Q131" s="59"/>
      <c r="R131" s="59"/>
      <c r="S131" s="59"/>
      <c r="T131" s="60"/>
      <c r="U131" s="58"/>
      <c r="V131" s="59"/>
      <c r="W131" s="59"/>
      <c r="X131" s="59"/>
      <c r="Y131" s="60"/>
      <c r="Z131" s="58"/>
      <c r="AA131" s="59"/>
      <c r="AB131" s="60"/>
      <c r="AD131" s="8"/>
      <c r="BL131" s="18"/>
      <c r="DA131" s="6"/>
    </row>
    <row r="132" spans="1:105" ht="18">
      <c r="M132" s="58"/>
      <c r="N132" s="59"/>
      <c r="O132" s="60"/>
      <c r="P132" s="58"/>
      <c r="Q132" s="59"/>
      <c r="R132" s="59"/>
      <c r="S132" s="59"/>
      <c r="T132" s="60"/>
      <c r="U132" s="58"/>
      <c r="V132" s="59"/>
      <c r="W132" s="59"/>
      <c r="X132" s="59"/>
      <c r="Y132" s="60"/>
      <c r="Z132" s="58"/>
      <c r="AA132" s="59"/>
      <c r="AB132" s="60"/>
      <c r="AD132" s="8"/>
      <c r="BL132" s="18"/>
      <c r="DA132" s="6"/>
    </row>
    <row r="133" spans="1:105" ht="18">
      <c r="B133" s="69">
        <f>$B$9</f>
        <v>45860</v>
      </c>
      <c r="C133" s="69"/>
      <c r="D133" s="69"/>
      <c r="E133" s="69"/>
      <c r="F133" s="69"/>
      <c r="G133" s="69"/>
      <c r="H133" s="69"/>
      <c r="I133" s="69"/>
      <c r="J133" s="69"/>
      <c r="M133" s="42"/>
      <c r="N133" s="43"/>
      <c r="O133" s="57"/>
      <c r="P133" s="42"/>
      <c r="Q133" s="43"/>
      <c r="R133" s="43"/>
      <c r="S133" s="43"/>
      <c r="T133" s="57"/>
      <c r="U133" s="42"/>
      <c r="V133" s="43"/>
      <c r="W133" s="43"/>
      <c r="X133" s="43"/>
      <c r="Y133" s="57"/>
      <c r="Z133" s="42"/>
      <c r="AA133" s="43"/>
      <c r="AB133" s="57"/>
      <c r="AD133" s="8"/>
      <c r="AE133" s="19" t="s">
        <v>58</v>
      </c>
      <c r="AF133" s="35"/>
      <c r="AG133" s="36"/>
      <c r="AH133" s="36"/>
      <c r="AI133" s="36"/>
      <c r="AJ133" s="36"/>
      <c r="AK133" s="36"/>
      <c r="AL133" s="36"/>
      <c r="AM133" s="36"/>
      <c r="AN133" s="36"/>
      <c r="AV133" s="19" t="s">
        <v>59</v>
      </c>
      <c r="AW133" s="35"/>
      <c r="AX133" s="36"/>
      <c r="AY133" s="36"/>
      <c r="AZ133" s="36"/>
      <c r="BA133" s="36"/>
      <c r="BB133" s="36"/>
      <c r="BC133" s="36"/>
      <c r="BD133" s="36"/>
      <c r="BE133" s="36"/>
      <c r="BL133" s="18"/>
      <c r="DA133" s="6"/>
    </row>
    <row r="134" spans="1:105" ht="14.25" customHeight="1">
      <c r="AD134" s="8"/>
      <c r="AE134" s="37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V134" s="37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18"/>
      <c r="DA134" s="6"/>
    </row>
    <row r="135" spans="1:105" ht="14.25" customHeight="1">
      <c r="A135" s="39" t="str">
        <f>$A$11</f>
        <v>CIF</v>
      </c>
      <c r="B135" s="40"/>
      <c r="C135" s="40"/>
      <c r="D135" s="41"/>
      <c r="E135" s="45" t="str">
        <f>IF($E$11="","",$E$11)</f>
        <v/>
      </c>
      <c r="F135" s="40"/>
      <c r="G135" s="40"/>
      <c r="H135" s="40"/>
      <c r="I135" s="40"/>
      <c r="J135" s="40"/>
      <c r="K135" s="40"/>
      <c r="L135" s="40"/>
      <c r="M135" s="41"/>
      <c r="N135" s="45" t="str">
        <f>$N$11</f>
        <v/>
      </c>
      <c r="O135" s="40"/>
      <c r="P135" s="40"/>
      <c r="Q135" s="40"/>
      <c r="R135" s="40"/>
      <c r="S135" s="41"/>
      <c r="T135" s="47" t="str">
        <f>IF($T$11="","",$T$11)</f>
        <v/>
      </c>
      <c r="U135" s="48"/>
      <c r="V135" s="48"/>
      <c r="W135" s="48"/>
      <c r="X135" s="48"/>
      <c r="Y135" s="48"/>
      <c r="Z135" s="48"/>
      <c r="AA135" s="48"/>
      <c r="AB135" s="49"/>
      <c r="AD135" s="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18"/>
      <c r="DA135" s="6"/>
    </row>
    <row r="136" spans="1:105" ht="14.25" customHeight="1">
      <c r="A136" s="42"/>
      <c r="B136" s="43"/>
      <c r="C136" s="43"/>
      <c r="D136" s="44"/>
      <c r="E136" s="46"/>
      <c r="F136" s="43"/>
      <c r="G136" s="43"/>
      <c r="H136" s="43"/>
      <c r="I136" s="43"/>
      <c r="J136" s="43"/>
      <c r="K136" s="43"/>
      <c r="L136" s="43"/>
      <c r="M136" s="44"/>
      <c r="N136" s="53" t="str">
        <f>$N$12</f>
        <v/>
      </c>
      <c r="O136" s="54"/>
      <c r="P136" s="54"/>
      <c r="Q136" s="54"/>
      <c r="R136" s="54"/>
      <c r="S136" s="55"/>
      <c r="T136" s="50"/>
      <c r="U136" s="51"/>
      <c r="V136" s="51"/>
      <c r="W136" s="51"/>
      <c r="X136" s="51"/>
      <c r="Y136" s="51"/>
      <c r="Z136" s="51"/>
      <c r="AA136" s="51"/>
      <c r="AB136" s="52"/>
      <c r="AD136" s="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18"/>
      <c r="DA136" s="6"/>
    </row>
    <row r="137" spans="1:105" ht="14.25" customHeight="1">
      <c r="A137" s="39" t="str">
        <f>$A$13</f>
        <v>債務者名</v>
      </c>
      <c r="B137" s="40"/>
      <c r="C137" s="40"/>
      <c r="D137" s="41"/>
      <c r="E137" s="45" t="str">
        <f>IF($E$13="","",$E$13)</f>
        <v/>
      </c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56"/>
      <c r="AD137" s="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18"/>
      <c r="DA137" s="6"/>
    </row>
    <row r="138" spans="1:105" ht="14.25" customHeight="1">
      <c r="A138" s="42"/>
      <c r="B138" s="43"/>
      <c r="C138" s="43"/>
      <c r="D138" s="44"/>
      <c r="E138" s="46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57"/>
      <c r="AD138" s="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18"/>
      <c r="DA138" s="6"/>
    </row>
    <row r="139" spans="1:105" ht="14.25" customHeight="1">
      <c r="A139" s="3"/>
      <c r="B139" s="4" t="s">
        <v>24</v>
      </c>
      <c r="C139" s="4"/>
      <c r="D139" s="4"/>
      <c r="E139" s="4"/>
      <c r="F139" s="4" t="s">
        <v>25</v>
      </c>
      <c r="G139" s="4"/>
      <c r="H139" s="4" t="s">
        <v>26</v>
      </c>
      <c r="I139" s="4"/>
      <c r="J139" s="4" t="s">
        <v>27</v>
      </c>
      <c r="K139" s="4"/>
      <c r="L139" s="4" t="s">
        <v>26</v>
      </c>
      <c r="M139" s="4" t="s">
        <v>28</v>
      </c>
      <c r="N139" s="4"/>
      <c r="O139" s="4"/>
      <c r="P139" s="4" t="s">
        <v>29</v>
      </c>
      <c r="Q139" s="20" t="s">
        <v>30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D139" s="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18"/>
      <c r="DA139" s="6"/>
    </row>
    <row r="140" spans="1:105" ht="14.25" customHeight="1">
      <c r="A140" s="8"/>
      <c r="AB140" s="18"/>
      <c r="AD140" s="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18"/>
      <c r="DA140" s="6"/>
    </row>
    <row r="141" spans="1:105" ht="14.25" customHeight="1">
      <c r="A141" s="8"/>
      <c r="B141" s="1" t="s">
        <v>33</v>
      </c>
      <c r="G141" s="1" t="s">
        <v>34</v>
      </c>
      <c r="AB141" s="18"/>
      <c r="AD141" s="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18"/>
      <c r="DA141" s="6"/>
    </row>
    <row r="142" spans="1:105" ht="14.25" customHeight="1">
      <c r="A142" s="8"/>
      <c r="G142" s="1" t="s">
        <v>36</v>
      </c>
      <c r="AB142" s="18"/>
      <c r="AD142" s="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18"/>
      <c r="DA142" s="6"/>
    </row>
    <row r="143" spans="1:105" ht="14.25" customHeight="1">
      <c r="A143" s="8"/>
      <c r="AB143" s="18"/>
      <c r="AD143" s="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18"/>
      <c r="DA143" s="6"/>
    </row>
    <row r="144" spans="1:105" ht="14.25" customHeight="1">
      <c r="A144" s="8"/>
      <c r="B144" s="37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18"/>
      <c r="AD144" s="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18"/>
      <c r="DA144" s="6"/>
    </row>
    <row r="145" spans="1:105" ht="14.25" customHeight="1">
      <c r="A145" s="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18"/>
      <c r="AD145" s="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18"/>
      <c r="DA145" s="6"/>
    </row>
    <row r="146" spans="1:105" ht="14.25" customHeight="1">
      <c r="A146" s="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18"/>
      <c r="AD146" s="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18"/>
      <c r="DA146" s="6"/>
    </row>
    <row r="147" spans="1:105" ht="14.25" customHeight="1">
      <c r="A147" s="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18"/>
      <c r="AD147" s="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18"/>
      <c r="DA147" s="6"/>
    </row>
    <row r="148" spans="1:105" ht="14.25" customHeight="1">
      <c r="A148" s="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18"/>
      <c r="AD148" s="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18"/>
      <c r="DA148" s="6"/>
    </row>
    <row r="149" spans="1:105" ht="14.25" customHeight="1">
      <c r="A149" s="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18"/>
      <c r="AD149" s="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18"/>
      <c r="DA149" s="6"/>
    </row>
    <row r="150" spans="1:105" ht="4.5" customHeight="1">
      <c r="A150" s="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18"/>
      <c r="AD150" s="8"/>
      <c r="BL150" s="18"/>
      <c r="DA150" s="6"/>
    </row>
    <row r="151" spans="1:105" ht="13.5" customHeight="1">
      <c r="A151" s="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18"/>
      <c r="AD151" s="8"/>
      <c r="AE151" s="19" t="s">
        <v>60</v>
      </c>
      <c r="AF151" s="35"/>
      <c r="AG151" s="36"/>
      <c r="AH151" s="36"/>
      <c r="AI151" s="36"/>
      <c r="AJ151" s="36"/>
      <c r="AK151" s="36"/>
      <c r="AL151" s="36"/>
      <c r="AM151" s="36"/>
      <c r="AN151" s="36"/>
      <c r="AV151" s="19" t="s">
        <v>61</v>
      </c>
      <c r="AW151" s="35"/>
      <c r="AX151" s="36"/>
      <c r="AY151" s="36"/>
      <c r="AZ151" s="36"/>
      <c r="BA151" s="36"/>
      <c r="BB151" s="36"/>
      <c r="BC151" s="36"/>
      <c r="BD151" s="36"/>
      <c r="BE151" s="36"/>
      <c r="BL151" s="18"/>
      <c r="DA151" s="6"/>
    </row>
    <row r="152" spans="1:105" ht="14.25" customHeight="1">
      <c r="A152" s="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18"/>
      <c r="AD152" s="8"/>
      <c r="AE152" s="37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V152" s="37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18"/>
    </row>
    <row r="153" spans="1:105" ht="14.25" customHeight="1">
      <c r="A153" s="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18"/>
      <c r="AD153" s="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18"/>
    </row>
    <row r="154" spans="1:105" ht="14.25" customHeight="1">
      <c r="A154" s="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18"/>
      <c r="AD154" s="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18"/>
    </row>
    <row r="155" spans="1:105" ht="14.25" customHeight="1">
      <c r="A155" s="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18"/>
      <c r="AD155" s="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18"/>
    </row>
    <row r="156" spans="1:105" ht="14.25" customHeight="1">
      <c r="A156" s="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18"/>
      <c r="AD156" s="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18"/>
    </row>
    <row r="157" spans="1:105" ht="14.25" customHeight="1">
      <c r="A157" s="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18"/>
      <c r="AD157" s="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18"/>
    </row>
    <row r="158" spans="1:105" ht="14.25" customHeight="1">
      <c r="A158" s="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18"/>
      <c r="AD158" s="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18"/>
    </row>
    <row r="159" spans="1:105" ht="14.25" customHeight="1">
      <c r="A159" s="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18"/>
      <c r="AD159" s="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18"/>
    </row>
    <row r="160" spans="1:105" ht="14.25" customHeight="1">
      <c r="A160" s="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18"/>
      <c r="AD160" s="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18"/>
    </row>
    <row r="161" spans="1:64" ht="14.25" customHeight="1">
      <c r="A161" s="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18"/>
      <c r="AD161" s="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18"/>
    </row>
    <row r="162" spans="1:64" ht="14.25" customHeight="1">
      <c r="A162" s="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18"/>
      <c r="AD162" s="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18"/>
    </row>
    <row r="163" spans="1:64" ht="14.25" customHeight="1">
      <c r="A163" s="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18"/>
      <c r="AD163" s="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18"/>
    </row>
    <row r="164" spans="1:64" ht="14.25" customHeight="1">
      <c r="A164" s="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18"/>
      <c r="AD164" s="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18"/>
    </row>
    <row r="165" spans="1:64" ht="14.25" customHeight="1">
      <c r="A165" s="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18"/>
      <c r="AD165" s="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18"/>
    </row>
    <row r="166" spans="1:64" ht="14.25" customHeight="1">
      <c r="A166" s="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18"/>
      <c r="AD166" s="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18"/>
    </row>
    <row r="167" spans="1:64" ht="14.25" customHeight="1">
      <c r="A167" s="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18"/>
      <c r="AD167" s="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18"/>
    </row>
    <row r="168" spans="1:64" ht="4.5" customHeight="1">
      <c r="A168" s="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18"/>
      <c r="AD168" s="8"/>
      <c r="BL168" s="18"/>
    </row>
    <row r="169" spans="1:64" ht="13.5" customHeight="1">
      <c r="A169" s="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18"/>
      <c r="AD169" s="8"/>
      <c r="AE169" s="19" t="s">
        <v>62</v>
      </c>
      <c r="AF169" s="35"/>
      <c r="AG169" s="36"/>
      <c r="AH169" s="36"/>
      <c r="AI169" s="36"/>
      <c r="AJ169" s="36"/>
      <c r="AK169" s="36"/>
      <c r="AL169" s="36"/>
      <c r="AM169" s="36"/>
      <c r="AN169" s="36"/>
      <c r="AV169" s="19" t="s">
        <v>63</v>
      </c>
      <c r="AW169" s="35"/>
      <c r="AX169" s="36"/>
      <c r="AY169" s="36"/>
      <c r="AZ169" s="36"/>
      <c r="BA169" s="36"/>
      <c r="BB169" s="36"/>
      <c r="BC169" s="36"/>
      <c r="BD169" s="36"/>
      <c r="BE169" s="36"/>
      <c r="BL169" s="18"/>
    </row>
    <row r="170" spans="1:64" ht="14.25" customHeight="1">
      <c r="A170" s="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18"/>
      <c r="AD170" s="8"/>
      <c r="AE170" s="37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V170" s="37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18"/>
    </row>
    <row r="171" spans="1:64" ht="14.25" customHeight="1">
      <c r="A171" s="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18"/>
      <c r="AD171" s="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18"/>
    </row>
    <row r="172" spans="1:64" ht="14.25" customHeight="1">
      <c r="A172" s="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18"/>
      <c r="AD172" s="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18"/>
    </row>
    <row r="173" spans="1:64" ht="14.25" customHeight="1">
      <c r="A173" s="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18"/>
      <c r="AD173" s="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18"/>
    </row>
    <row r="174" spans="1:64" ht="14.25" customHeight="1">
      <c r="A174" s="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18"/>
      <c r="AD174" s="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18"/>
    </row>
    <row r="175" spans="1:64" ht="14.25" customHeight="1">
      <c r="A175" s="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18"/>
      <c r="AD175" s="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18"/>
    </row>
    <row r="176" spans="1:64" ht="14.25" customHeight="1">
      <c r="A176" s="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18"/>
      <c r="AD176" s="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18"/>
    </row>
    <row r="177" spans="1:105" ht="14.25" customHeight="1">
      <c r="A177" s="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18"/>
      <c r="AD177" s="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18"/>
    </row>
    <row r="178" spans="1:105" ht="14.25" customHeight="1">
      <c r="A178" s="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18"/>
      <c r="AD178" s="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18"/>
    </row>
    <row r="179" spans="1:105" ht="14.25" customHeight="1">
      <c r="A179" s="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18"/>
      <c r="AD179" s="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18"/>
    </row>
    <row r="180" spans="1:105" ht="14.25" customHeight="1">
      <c r="A180" s="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18"/>
      <c r="AD180" s="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18"/>
    </row>
    <row r="181" spans="1:105" ht="14.25" customHeight="1">
      <c r="A181" s="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18"/>
      <c r="AD181" s="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18"/>
    </row>
    <row r="182" spans="1:105" ht="14.25" customHeight="1">
      <c r="A182" s="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18"/>
      <c r="AD182" s="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18"/>
    </row>
    <row r="183" spans="1:105" ht="14.25" customHeight="1">
      <c r="A183" s="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18"/>
      <c r="AD183" s="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18"/>
    </row>
    <row r="184" spans="1:105" ht="14.25" customHeight="1">
      <c r="A184" s="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18"/>
      <c r="AD184" s="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18"/>
    </row>
    <row r="185" spans="1:105" ht="14.25" customHeight="1">
      <c r="A185" s="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18"/>
      <c r="AD185" s="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18"/>
    </row>
    <row r="186" spans="1:105" ht="5.25" customHeight="1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3"/>
      <c r="AD186" s="21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3"/>
    </row>
    <row r="187" spans="1:105" ht="7.5" customHeight="1"/>
    <row r="188" spans="1:105" ht="22">
      <c r="A188" s="2" t="s">
        <v>0</v>
      </c>
      <c r="M188" s="64">
        <f>$M$2</f>
        <v>2</v>
      </c>
      <c r="N188" s="64"/>
      <c r="AD188" s="3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25" t="str">
        <f>IF($BB$2="","",$BB$2)</f>
        <v/>
      </c>
      <c r="BC188" s="26"/>
      <c r="BD188" s="26"/>
      <c r="BE188" s="26"/>
      <c r="BF188" s="27"/>
      <c r="BG188" s="26">
        <f>$BG$2</f>
        <v>3159205</v>
      </c>
      <c r="BH188" s="26"/>
      <c r="BI188" s="26"/>
      <c r="BJ188" s="26"/>
      <c r="BK188" s="26"/>
      <c r="BL188" s="5"/>
      <c r="DA188" s="6"/>
    </row>
    <row r="189" spans="1:105" ht="7.5" customHeight="1">
      <c r="A189" s="7"/>
      <c r="AD189" s="8"/>
      <c r="AE189" s="9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1"/>
      <c r="AQ189" s="9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2"/>
      <c r="DA189" s="6"/>
    </row>
    <row r="190" spans="1:105" ht="18">
      <c r="M190" s="28" t="s">
        <v>3</v>
      </c>
      <c r="N190" s="29"/>
      <c r="O190" s="30"/>
      <c r="P190" s="28" t="str">
        <f>$P$4</f>
        <v>勘定店名</v>
      </c>
      <c r="Q190" s="29"/>
      <c r="R190" s="29"/>
      <c r="S190" s="29"/>
      <c r="T190" s="30"/>
      <c r="U190" s="28" t="s">
        <v>4</v>
      </c>
      <c r="V190" s="29"/>
      <c r="W190" s="29"/>
      <c r="X190" s="29"/>
      <c r="Y190" s="30"/>
      <c r="Z190" s="28" t="s">
        <v>5</v>
      </c>
      <c r="AA190" s="29"/>
      <c r="AB190" s="30"/>
      <c r="AD190" s="8"/>
      <c r="AE190" s="13"/>
      <c r="AF190" s="1" t="s">
        <v>6</v>
      </c>
      <c r="AJ190" s="67">
        <f>$AJ$4</f>
        <v>45860</v>
      </c>
      <c r="AK190" s="67"/>
      <c r="AL190" s="67"/>
      <c r="AM190" s="67"/>
      <c r="AN190" s="67"/>
      <c r="AO190" s="67"/>
      <c r="AP190" s="68"/>
      <c r="AQ190" s="13"/>
      <c r="AR190" s="1" t="s">
        <v>7</v>
      </c>
      <c r="AV190" s="33" t="str">
        <f>$AV$4</f>
        <v>埼玉県秩父郡小鹿野町両神薄字中原里248-2</v>
      </c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4"/>
      <c r="DA190" s="6"/>
    </row>
    <row r="191" spans="1:105" ht="7.5" customHeight="1">
      <c r="M191" s="39">
        <f>IF(M5="","",M5)</f>
        <v>584</v>
      </c>
      <c r="N191" s="40"/>
      <c r="O191" s="56"/>
      <c r="P191" s="39" t="str">
        <f>IF(P5="","",P5)</f>
        <v>秩父</v>
      </c>
      <c r="Q191" s="40"/>
      <c r="R191" s="40"/>
      <c r="S191" s="40"/>
      <c r="T191" s="56"/>
      <c r="U191" s="39" t="str">
        <f>IF(U5="","",U5)</f>
        <v/>
      </c>
      <c r="V191" s="40"/>
      <c r="W191" s="40"/>
      <c r="X191" s="40"/>
      <c r="Y191" s="56"/>
      <c r="Z191" s="39" t="str">
        <f>IF(Z5="","",Z5)</f>
        <v/>
      </c>
      <c r="AA191" s="40"/>
      <c r="AB191" s="56"/>
      <c r="AD191" s="8"/>
      <c r="AE191" s="14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6"/>
      <c r="AQ191" s="14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7"/>
      <c r="DA191" s="6"/>
    </row>
    <row r="192" spans="1:105" ht="7.5" customHeight="1">
      <c r="M192" s="58"/>
      <c r="N192" s="59"/>
      <c r="O192" s="60"/>
      <c r="P192" s="58"/>
      <c r="Q192" s="59"/>
      <c r="R192" s="59"/>
      <c r="S192" s="59"/>
      <c r="T192" s="60"/>
      <c r="U192" s="58"/>
      <c r="V192" s="59"/>
      <c r="W192" s="59"/>
      <c r="X192" s="59"/>
      <c r="Y192" s="60"/>
      <c r="Z192" s="58"/>
      <c r="AA192" s="59"/>
      <c r="AB192" s="60"/>
      <c r="AD192" s="8"/>
      <c r="BL192" s="18"/>
      <c r="DA192" s="6"/>
    </row>
    <row r="193" spans="1:105" ht="7.5" customHeight="1">
      <c r="M193" s="58"/>
      <c r="N193" s="59"/>
      <c r="O193" s="60"/>
      <c r="P193" s="58"/>
      <c r="Q193" s="59"/>
      <c r="R193" s="59"/>
      <c r="S193" s="59"/>
      <c r="T193" s="60"/>
      <c r="U193" s="58"/>
      <c r="V193" s="59"/>
      <c r="W193" s="59"/>
      <c r="X193" s="59"/>
      <c r="Y193" s="60"/>
      <c r="Z193" s="58"/>
      <c r="AA193" s="59"/>
      <c r="AB193" s="60"/>
      <c r="AD193" s="8"/>
      <c r="BL193" s="18"/>
      <c r="DA193" s="6"/>
    </row>
    <row r="194" spans="1:105" ht="18">
      <c r="M194" s="58"/>
      <c r="N194" s="59"/>
      <c r="O194" s="60"/>
      <c r="P194" s="58"/>
      <c r="Q194" s="59"/>
      <c r="R194" s="59"/>
      <c r="S194" s="59"/>
      <c r="T194" s="60"/>
      <c r="U194" s="58"/>
      <c r="V194" s="59"/>
      <c r="W194" s="59"/>
      <c r="X194" s="59"/>
      <c r="Y194" s="60"/>
      <c r="Z194" s="58"/>
      <c r="AA194" s="59"/>
      <c r="AB194" s="60"/>
      <c r="AD194" s="8"/>
      <c r="BL194" s="18"/>
      <c r="DA194" s="6"/>
    </row>
    <row r="195" spans="1:105" ht="18">
      <c r="B195" s="69">
        <f>$B$9</f>
        <v>45860</v>
      </c>
      <c r="C195" s="69"/>
      <c r="D195" s="69"/>
      <c r="E195" s="69"/>
      <c r="F195" s="69"/>
      <c r="G195" s="69"/>
      <c r="H195" s="69"/>
      <c r="I195" s="69"/>
      <c r="J195" s="69"/>
      <c r="M195" s="42"/>
      <c r="N195" s="43"/>
      <c r="O195" s="57"/>
      <c r="P195" s="42"/>
      <c r="Q195" s="43"/>
      <c r="R195" s="43"/>
      <c r="S195" s="43"/>
      <c r="T195" s="57"/>
      <c r="U195" s="42"/>
      <c r="V195" s="43"/>
      <c r="W195" s="43"/>
      <c r="X195" s="43"/>
      <c r="Y195" s="57"/>
      <c r="Z195" s="42"/>
      <c r="AA195" s="43"/>
      <c r="AB195" s="57"/>
      <c r="AD195" s="8"/>
      <c r="AE195" s="19" t="s">
        <v>64</v>
      </c>
      <c r="AF195" s="35"/>
      <c r="AG195" s="36"/>
      <c r="AH195" s="36"/>
      <c r="AI195" s="36"/>
      <c r="AJ195" s="36"/>
      <c r="AK195" s="36"/>
      <c r="AL195" s="36"/>
      <c r="AM195" s="36"/>
      <c r="AN195" s="36"/>
      <c r="AV195" s="19" t="s">
        <v>65</v>
      </c>
      <c r="AW195" s="35"/>
      <c r="AX195" s="36"/>
      <c r="AY195" s="36"/>
      <c r="AZ195" s="36"/>
      <c r="BA195" s="36"/>
      <c r="BB195" s="36"/>
      <c r="BC195" s="36"/>
      <c r="BD195" s="36"/>
      <c r="BE195" s="36"/>
      <c r="BL195" s="18"/>
      <c r="DA195" s="6"/>
    </row>
    <row r="196" spans="1:105" ht="14.25" customHeight="1">
      <c r="AD196" s="8"/>
      <c r="AE196" s="37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V196" s="37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18"/>
      <c r="DA196" s="6"/>
    </row>
    <row r="197" spans="1:105" ht="14.25" customHeight="1">
      <c r="A197" s="39" t="str">
        <f>$A$11</f>
        <v>CIF</v>
      </c>
      <c r="B197" s="40"/>
      <c r="C197" s="40"/>
      <c r="D197" s="41"/>
      <c r="E197" s="45" t="str">
        <f>IF($E$11="","",$E$11)</f>
        <v/>
      </c>
      <c r="F197" s="40"/>
      <c r="G197" s="40"/>
      <c r="H197" s="40"/>
      <c r="I197" s="40"/>
      <c r="J197" s="40"/>
      <c r="K197" s="40"/>
      <c r="L197" s="40"/>
      <c r="M197" s="41"/>
      <c r="N197" s="45" t="str">
        <f>$N$11</f>
        <v/>
      </c>
      <c r="O197" s="40"/>
      <c r="P197" s="40"/>
      <c r="Q197" s="40"/>
      <c r="R197" s="40"/>
      <c r="S197" s="41"/>
      <c r="T197" s="47" t="str">
        <f>IF($T$11="","",$T$11)</f>
        <v/>
      </c>
      <c r="U197" s="48"/>
      <c r="V197" s="48"/>
      <c r="W197" s="48"/>
      <c r="X197" s="48"/>
      <c r="Y197" s="48"/>
      <c r="Z197" s="48"/>
      <c r="AA197" s="48"/>
      <c r="AB197" s="49"/>
      <c r="AD197" s="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18"/>
      <c r="DA197" s="6"/>
    </row>
    <row r="198" spans="1:105" ht="14.25" customHeight="1">
      <c r="A198" s="42"/>
      <c r="B198" s="43"/>
      <c r="C198" s="43"/>
      <c r="D198" s="44"/>
      <c r="E198" s="46"/>
      <c r="F198" s="43"/>
      <c r="G198" s="43"/>
      <c r="H198" s="43"/>
      <c r="I198" s="43"/>
      <c r="J198" s="43"/>
      <c r="K198" s="43"/>
      <c r="L198" s="43"/>
      <c r="M198" s="44"/>
      <c r="N198" s="53" t="str">
        <f>$N$12</f>
        <v/>
      </c>
      <c r="O198" s="54"/>
      <c r="P198" s="54"/>
      <c r="Q198" s="54"/>
      <c r="R198" s="54"/>
      <c r="S198" s="55"/>
      <c r="T198" s="50"/>
      <c r="U198" s="51"/>
      <c r="V198" s="51"/>
      <c r="W198" s="51"/>
      <c r="X198" s="51"/>
      <c r="Y198" s="51"/>
      <c r="Z198" s="51"/>
      <c r="AA198" s="51"/>
      <c r="AB198" s="52"/>
      <c r="AD198" s="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18"/>
      <c r="DA198" s="6"/>
    </row>
    <row r="199" spans="1:105" ht="14.25" customHeight="1">
      <c r="A199" s="39" t="str">
        <f>$A$13</f>
        <v>債務者名</v>
      </c>
      <c r="B199" s="40"/>
      <c r="C199" s="40"/>
      <c r="D199" s="41"/>
      <c r="E199" s="45" t="str">
        <f>IF($E$13="","",$E$13)</f>
        <v/>
      </c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56"/>
      <c r="AD199" s="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18"/>
      <c r="DA199" s="6"/>
    </row>
    <row r="200" spans="1:105" ht="14.25" customHeight="1">
      <c r="A200" s="42"/>
      <c r="B200" s="43"/>
      <c r="C200" s="43"/>
      <c r="D200" s="44"/>
      <c r="E200" s="46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57"/>
      <c r="AD200" s="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18"/>
      <c r="DA200" s="6"/>
    </row>
    <row r="201" spans="1:105" ht="14.25" customHeight="1">
      <c r="A201" s="3"/>
      <c r="B201" s="4" t="s">
        <v>24</v>
      </c>
      <c r="C201" s="4"/>
      <c r="D201" s="4"/>
      <c r="E201" s="4"/>
      <c r="F201" s="4" t="s">
        <v>25</v>
      </c>
      <c r="G201" s="4"/>
      <c r="H201" s="4" t="s">
        <v>26</v>
      </c>
      <c r="I201" s="4"/>
      <c r="J201" s="4" t="s">
        <v>27</v>
      </c>
      <c r="K201" s="4"/>
      <c r="L201" s="4" t="s">
        <v>26</v>
      </c>
      <c r="M201" s="4" t="s">
        <v>28</v>
      </c>
      <c r="N201" s="4"/>
      <c r="O201" s="4"/>
      <c r="P201" s="4" t="s">
        <v>29</v>
      </c>
      <c r="Q201" s="20" t="s">
        <v>30</v>
      </c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D201" s="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18"/>
      <c r="DA201" s="6"/>
    </row>
    <row r="202" spans="1:105" ht="14.25" customHeight="1">
      <c r="A202" s="8"/>
      <c r="AB202" s="18"/>
      <c r="AD202" s="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18"/>
      <c r="DA202" s="6"/>
    </row>
    <row r="203" spans="1:105" ht="14.25" customHeight="1">
      <c r="A203" s="8"/>
      <c r="B203" s="1" t="s">
        <v>33</v>
      </c>
      <c r="G203" s="1" t="s">
        <v>34</v>
      </c>
      <c r="AB203" s="18"/>
      <c r="AD203" s="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18"/>
      <c r="DA203" s="6"/>
    </row>
    <row r="204" spans="1:105" ht="14.25" customHeight="1">
      <c r="A204" s="8"/>
      <c r="G204" s="1" t="s">
        <v>36</v>
      </c>
      <c r="AB204" s="18"/>
      <c r="AD204" s="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18"/>
      <c r="DA204" s="6"/>
    </row>
    <row r="205" spans="1:105" ht="14.25" customHeight="1">
      <c r="A205" s="8"/>
      <c r="AB205" s="18"/>
      <c r="AD205" s="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18"/>
      <c r="DA205" s="6"/>
    </row>
    <row r="206" spans="1:105" ht="14.25" customHeight="1">
      <c r="A206" s="8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18"/>
      <c r="AD206" s="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18"/>
      <c r="DA206" s="6"/>
    </row>
    <row r="207" spans="1:105" ht="14.25" customHeight="1">
      <c r="A207" s="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18"/>
      <c r="AD207" s="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18"/>
      <c r="DA207" s="6"/>
    </row>
    <row r="208" spans="1:105" ht="14.25" customHeight="1">
      <c r="A208" s="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18"/>
      <c r="AD208" s="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18"/>
      <c r="DA208" s="6"/>
    </row>
    <row r="209" spans="1:105" ht="14.25" customHeight="1">
      <c r="A209" s="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18"/>
      <c r="AD209" s="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18"/>
      <c r="DA209" s="6"/>
    </row>
    <row r="210" spans="1:105" ht="14.25" customHeight="1">
      <c r="A210" s="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18"/>
      <c r="AD210" s="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18"/>
      <c r="DA210" s="6"/>
    </row>
    <row r="211" spans="1:105" ht="14.25" customHeight="1">
      <c r="A211" s="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18"/>
      <c r="AD211" s="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18"/>
      <c r="DA211" s="6"/>
    </row>
    <row r="212" spans="1:105" ht="4.5" customHeight="1">
      <c r="A212" s="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18"/>
      <c r="AD212" s="8"/>
      <c r="BL212" s="18"/>
      <c r="DA212" s="6"/>
    </row>
    <row r="213" spans="1:105" ht="13.5" customHeight="1">
      <c r="A213" s="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18"/>
      <c r="AD213" s="8"/>
      <c r="AE213" s="19" t="s">
        <v>66</v>
      </c>
      <c r="AF213" s="35"/>
      <c r="AG213" s="36"/>
      <c r="AH213" s="36"/>
      <c r="AI213" s="36"/>
      <c r="AJ213" s="36"/>
      <c r="AK213" s="36"/>
      <c r="AL213" s="36"/>
      <c r="AM213" s="36"/>
      <c r="AN213" s="36"/>
      <c r="AV213" s="19" t="s">
        <v>67</v>
      </c>
      <c r="AW213" s="35"/>
      <c r="AX213" s="36"/>
      <c r="AY213" s="36"/>
      <c r="AZ213" s="36"/>
      <c r="BA213" s="36"/>
      <c r="BB213" s="36"/>
      <c r="BC213" s="36"/>
      <c r="BD213" s="36"/>
      <c r="BE213" s="36"/>
      <c r="BL213" s="18"/>
      <c r="DA213" s="6"/>
    </row>
    <row r="214" spans="1:105" ht="14.25" customHeight="1">
      <c r="A214" s="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18"/>
      <c r="AD214" s="8"/>
      <c r="AE214" s="37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V214" s="37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18"/>
    </row>
    <row r="215" spans="1:105" ht="14.25" customHeight="1">
      <c r="A215" s="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18"/>
      <c r="AD215" s="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18"/>
    </row>
    <row r="216" spans="1:105" ht="14.25" customHeight="1">
      <c r="A216" s="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18"/>
      <c r="AD216" s="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18"/>
    </row>
    <row r="217" spans="1:105" ht="14.25" customHeight="1">
      <c r="A217" s="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18"/>
      <c r="AD217" s="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18"/>
    </row>
    <row r="218" spans="1:105" ht="14.25" customHeight="1">
      <c r="A218" s="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18"/>
      <c r="AD218" s="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18"/>
    </row>
    <row r="219" spans="1:105" ht="14.25" customHeight="1">
      <c r="A219" s="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18"/>
      <c r="AD219" s="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18"/>
    </row>
    <row r="220" spans="1:105" ht="14.25" customHeight="1">
      <c r="A220" s="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18"/>
      <c r="AD220" s="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18"/>
    </row>
    <row r="221" spans="1:105" ht="14.25" customHeight="1">
      <c r="A221" s="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18"/>
      <c r="AD221" s="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18"/>
    </row>
    <row r="222" spans="1:105" ht="14.25" customHeight="1">
      <c r="A222" s="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18"/>
      <c r="AD222" s="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18"/>
    </row>
    <row r="223" spans="1:105" ht="14.25" customHeight="1">
      <c r="A223" s="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18"/>
      <c r="AD223" s="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18"/>
    </row>
    <row r="224" spans="1:105" ht="14.25" customHeight="1">
      <c r="A224" s="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18"/>
      <c r="AD224" s="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18"/>
    </row>
    <row r="225" spans="1:64" ht="14.25" customHeight="1">
      <c r="A225" s="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18"/>
      <c r="AD225" s="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18"/>
    </row>
    <row r="226" spans="1:64" ht="14.25" customHeight="1">
      <c r="A226" s="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18"/>
      <c r="AD226" s="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18"/>
    </row>
    <row r="227" spans="1:64" ht="14.25" customHeight="1">
      <c r="A227" s="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18"/>
      <c r="AD227" s="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18"/>
    </row>
    <row r="228" spans="1:64" ht="14.25" customHeight="1">
      <c r="A228" s="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18"/>
      <c r="AD228" s="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18"/>
    </row>
    <row r="229" spans="1:64" ht="14.25" customHeight="1">
      <c r="A229" s="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18"/>
      <c r="AD229" s="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18"/>
    </row>
    <row r="230" spans="1:64" ht="4.5" customHeight="1">
      <c r="A230" s="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18"/>
      <c r="AD230" s="8"/>
      <c r="BL230" s="18"/>
    </row>
    <row r="231" spans="1:64" ht="13.5" customHeight="1">
      <c r="A231" s="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18"/>
      <c r="AD231" s="8"/>
      <c r="AE231" s="19" t="s">
        <v>68</v>
      </c>
      <c r="AF231" s="35"/>
      <c r="AG231" s="36"/>
      <c r="AH231" s="36"/>
      <c r="AI231" s="36"/>
      <c r="AJ231" s="36"/>
      <c r="AK231" s="36"/>
      <c r="AL231" s="36"/>
      <c r="AM231" s="36"/>
      <c r="AN231" s="36"/>
      <c r="AV231" s="19" t="s">
        <v>69</v>
      </c>
      <c r="AW231" s="35"/>
      <c r="AX231" s="36"/>
      <c r="AY231" s="36"/>
      <c r="AZ231" s="36"/>
      <c r="BA231" s="36"/>
      <c r="BB231" s="36"/>
      <c r="BC231" s="36"/>
      <c r="BD231" s="36"/>
      <c r="BE231" s="36"/>
      <c r="BL231" s="18"/>
    </row>
    <row r="232" spans="1:64" ht="14.25" customHeight="1">
      <c r="A232" s="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18"/>
      <c r="AD232" s="8"/>
      <c r="AE232" s="37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V232" s="37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18"/>
    </row>
    <row r="233" spans="1:64" ht="14.25" customHeight="1">
      <c r="A233" s="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18"/>
      <c r="AD233" s="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18"/>
    </row>
    <row r="234" spans="1:64" ht="14.25" customHeight="1">
      <c r="A234" s="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18"/>
      <c r="AD234" s="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18"/>
    </row>
    <row r="235" spans="1:64" ht="14.25" customHeight="1">
      <c r="A235" s="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18"/>
      <c r="AD235" s="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18"/>
    </row>
    <row r="236" spans="1:64" ht="14.25" customHeight="1">
      <c r="A236" s="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18"/>
      <c r="AD236" s="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18"/>
    </row>
    <row r="237" spans="1:64" ht="14.25" customHeight="1">
      <c r="A237" s="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18"/>
      <c r="AD237" s="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18"/>
    </row>
    <row r="238" spans="1:64" ht="14.25" customHeight="1">
      <c r="A238" s="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18"/>
      <c r="AD238" s="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18"/>
    </row>
    <row r="239" spans="1:64" ht="14.25" customHeight="1">
      <c r="A239" s="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18"/>
      <c r="AD239" s="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18"/>
    </row>
    <row r="240" spans="1:64" ht="14.25" customHeight="1">
      <c r="A240" s="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18"/>
      <c r="AD240" s="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18"/>
    </row>
    <row r="241" spans="1:105" ht="14.25" customHeight="1">
      <c r="A241" s="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18"/>
      <c r="AD241" s="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18"/>
    </row>
    <row r="242" spans="1:105" ht="14.25" customHeight="1">
      <c r="A242" s="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18"/>
      <c r="AD242" s="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18"/>
    </row>
    <row r="243" spans="1:105" ht="14.25" customHeight="1">
      <c r="A243" s="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18"/>
      <c r="AD243" s="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18"/>
    </row>
    <row r="244" spans="1:105" ht="14.25" customHeight="1">
      <c r="A244" s="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18"/>
      <c r="AD244" s="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18"/>
    </row>
    <row r="245" spans="1:105" ht="14.25" customHeight="1">
      <c r="A245" s="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18"/>
      <c r="AD245" s="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18"/>
    </row>
    <row r="246" spans="1:105" ht="14.25" customHeight="1">
      <c r="A246" s="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18"/>
      <c r="AD246" s="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18"/>
    </row>
    <row r="247" spans="1:105" ht="14.25" customHeight="1">
      <c r="A247" s="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18"/>
      <c r="AD247" s="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18"/>
    </row>
    <row r="248" spans="1:105" ht="5.25" customHeight="1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3"/>
      <c r="AD248" s="21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3"/>
    </row>
    <row r="249" spans="1:105" ht="7.5" customHeight="1"/>
    <row r="250" spans="1:105" ht="22">
      <c r="A250" s="2" t="s">
        <v>0</v>
      </c>
      <c r="M250" s="65">
        <f>$M$2</f>
        <v>2</v>
      </c>
      <c r="N250" s="65"/>
      <c r="AD250" s="3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25" t="str">
        <f>IF($BB$2="","",$BB$2)</f>
        <v/>
      </c>
      <c r="BC250" s="26"/>
      <c r="BD250" s="26"/>
      <c r="BE250" s="26"/>
      <c r="BF250" s="27"/>
      <c r="BG250" s="26">
        <f>$BG$2</f>
        <v>3159205</v>
      </c>
      <c r="BH250" s="26"/>
      <c r="BI250" s="26"/>
      <c r="BJ250" s="26"/>
      <c r="BK250" s="26"/>
      <c r="BL250" s="5"/>
      <c r="DA250" s="6"/>
    </row>
    <row r="251" spans="1:105" ht="7.5" customHeight="1">
      <c r="A251" s="7"/>
      <c r="AD251" s="8"/>
      <c r="AE251" s="9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1"/>
      <c r="AQ251" s="9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2"/>
      <c r="DA251" s="6"/>
    </row>
    <row r="252" spans="1:105" ht="18">
      <c r="M252" s="28" t="s">
        <v>3</v>
      </c>
      <c r="N252" s="29"/>
      <c r="O252" s="30"/>
      <c r="P252" s="28" t="str">
        <f>$P$4</f>
        <v>勘定店名</v>
      </c>
      <c r="Q252" s="29"/>
      <c r="R252" s="29"/>
      <c r="S252" s="29"/>
      <c r="T252" s="30"/>
      <c r="U252" s="28" t="s">
        <v>4</v>
      </c>
      <c r="V252" s="29"/>
      <c r="W252" s="29"/>
      <c r="X252" s="29"/>
      <c r="Y252" s="30"/>
      <c r="Z252" s="28" t="s">
        <v>5</v>
      </c>
      <c r="AA252" s="29"/>
      <c r="AB252" s="30"/>
      <c r="AD252" s="8"/>
      <c r="AE252" s="13"/>
      <c r="AF252" s="1" t="s">
        <v>6</v>
      </c>
      <c r="AJ252" s="67">
        <f>$AJ$4</f>
        <v>45860</v>
      </c>
      <c r="AK252" s="67"/>
      <c r="AL252" s="67"/>
      <c r="AM252" s="67"/>
      <c r="AN252" s="67"/>
      <c r="AO252" s="67"/>
      <c r="AP252" s="68"/>
      <c r="AQ252" s="13"/>
      <c r="AR252" s="1" t="s">
        <v>7</v>
      </c>
      <c r="AV252" s="33" t="str">
        <f>$AV$4</f>
        <v>埼玉県秩父郡小鹿野町両神薄字中原里248-2</v>
      </c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4"/>
      <c r="DA252" s="6"/>
    </row>
    <row r="253" spans="1:105" ht="7.5" customHeight="1">
      <c r="M253" s="39">
        <f>IF(M5="","",M5)</f>
        <v>584</v>
      </c>
      <c r="N253" s="40"/>
      <c r="O253" s="56"/>
      <c r="P253" s="39" t="str">
        <f>IF(P5="","",P5)</f>
        <v>秩父</v>
      </c>
      <c r="Q253" s="40"/>
      <c r="R253" s="40"/>
      <c r="S253" s="40"/>
      <c r="T253" s="56"/>
      <c r="U253" s="39" t="str">
        <f>IF(U5="","",U5)</f>
        <v/>
      </c>
      <c r="V253" s="40"/>
      <c r="W253" s="40"/>
      <c r="X253" s="40"/>
      <c r="Y253" s="56"/>
      <c r="Z253" s="39" t="str">
        <f>IF(Z5="","",Z5)</f>
        <v/>
      </c>
      <c r="AA253" s="40"/>
      <c r="AB253" s="56"/>
      <c r="AD253" s="8"/>
      <c r="AE253" s="14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6"/>
      <c r="AQ253" s="14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7"/>
      <c r="DA253" s="6"/>
    </row>
    <row r="254" spans="1:105" ht="7.5" customHeight="1">
      <c r="M254" s="58"/>
      <c r="N254" s="59"/>
      <c r="O254" s="60"/>
      <c r="P254" s="58"/>
      <c r="Q254" s="59"/>
      <c r="R254" s="59"/>
      <c r="S254" s="59"/>
      <c r="T254" s="60"/>
      <c r="U254" s="58"/>
      <c r="V254" s="59"/>
      <c r="W254" s="59"/>
      <c r="X254" s="59"/>
      <c r="Y254" s="60"/>
      <c r="Z254" s="58"/>
      <c r="AA254" s="59"/>
      <c r="AB254" s="60"/>
      <c r="AD254" s="8"/>
      <c r="BL254" s="18"/>
      <c r="DA254" s="6"/>
    </row>
    <row r="255" spans="1:105" ht="7.5" customHeight="1">
      <c r="M255" s="58"/>
      <c r="N255" s="59"/>
      <c r="O255" s="60"/>
      <c r="P255" s="58"/>
      <c r="Q255" s="59"/>
      <c r="R255" s="59"/>
      <c r="S255" s="59"/>
      <c r="T255" s="60"/>
      <c r="U255" s="58"/>
      <c r="V255" s="59"/>
      <c r="W255" s="59"/>
      <c r="X255" s="59"/>
      <c r="Y255" s="60"/>
      <c r="Z255" s="58"/>
      <c r="AA255" s="59"/>
      <c r="AB255" s="60"/>
      <c r="AD255" s="8"/>
      <c r="BL255" s="18"/>
      <c r="DA255" s="6"/>
    </row>
    <row r="256" spans="1:105" ht="18">
      <c r="M256" s="58"/>
      <c r="N256" s="59"/>
      <c r="O256" s="60"/>
      <c r="P256" s="58"/>
      <c r="Q256" s="59"/>
      <c r="R256" s="59"/>
      <c r="S256" s="59"/>
      <c r="T256" s="60"/>
      <c r="U256" s="58"/>
      <c r="V256" s="59"/>
      <c r="W256" s="59"/>
      <c r="X256" s="59"/>
      <c r="Y256" s="60"/>
      <c r="Z256" s="58"/>
      <c r="AA256" s="59"/>
      <c r="AB256" s="60"/>
      <c r="AD256" s="8"/>
      <c r="BL256" s="18"/>
      <c r="DA256" s="6"/>
    </row>
    <row r="257" spans="1:105" ht="18">
      <c r="B257" s="69">
        <f>$B$9</f>
        <v>45860</v>
      </c>
      <c r="C257" s="69"/>
      <c r="D257" s="69"/>
      <c r="E257" s="69"/>
      <c r="F257" s="69"/>
      <c r="G257" s="69"/>
      <c r="H257" s="69"/>
      <c r="I257" s="69"/>
      <c r="J257" s="69"/>
      <c r="M257" s="42"/>
      <c r="N257" s="43"/>
      <c r="O257" s="57"/>
      <c r="P257" s="42"/>
      <c r="Q257" s="43"/>
      <c r="R257" s="43"/>
      <c r="S257" s="43"/>
      <c r="T257" s="57"/>
      <c r="U257" s="42"/>
      <c r="V257" s="43"/>
      <c r="W257" s="43"/>
      <c r="X257" s="43"/>
      <c r="Y257" s="57"/>
      <c r="Z257" s="42"/>
      <c r="AA257" s="43"/>
      <c r="AB257" s="57"/>
      <c r="AD257" s="8"/>
      <c r="AE257" s="19" t="s">
        <v>70</v>
      </c>
      <c r="AF257" s="35"/>
      <c r="AG257" s="36"/>
      <c r="AH257" s="36"/>
      <c r="AI257" s="36"/>
      <c r="AJ257" s="36"/>
      <c r="AK257" s="36"/>
      <c r="AL257" s="36"/>
      <c r="AM257" s="36"/>
      <c r="AN257" s="36"/>
      <c r="AV257" s="19" t="s">
        <v>71</v>
      </c>
      <c r="AW257" s="35"/>
      <c r="AX257" s="36"/>
      <c r="AY257" s="36"/>
      <c r="AZ257" s="36"/>
      <c r="BA257" s="36"/>
      <c r="BB257" s="36"/>
      <c r="BC257" s="36"/>
      <c r="BD257" s="36"/>
      <c r="BE257" s="36"/>
      <c r="BL257" s="18"/>
      <c r="DA257" s="6"/>
    </row>
    <row r="258" spans="1:105" ht="14.25" customHeight="1">
      <c r="AD258" s="8"/>
      <c r="AE258" s="37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V258" s="37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18"/>
      <c r="DA258" s="6"/>
    </row>
    <row r="259" spans="1:105" ht="14.25" customHeight="1">
      <c r="A259" s="39" t="str">
        <f>$A$11</f>
        <v>CIF</v>
      </c>
      <c r="B259" s="40"/>
      <c r="C259" s="40"/>
      <c r="D259" s="41"/>
      <c r="E259" s="45" t="str">
        <f>IF($E$11="","",$E$11)</f>
        <v/>
      </c>
      <c r="F259" s="40"/>
      <c r="G259" s="40"/>
      <c r="H259" s="40"/>
      <c r="I259" s="40"/>
      <c r="J259" s="40"/>
      <c r="K259" s="40"/>
      <c r="L259" s="40"/>
      <c r="M259" s="41"/>
      <c r="N259" s="45" t="str">
        <f>$N$11</f>
        <v/>
      </c>
      <c r="O259" s="40"/>
      <c r="P259" s="40"/>
      <c r="Q259" s="40"/>
      <c r="R259" s="40"/>
      <c r="S259" s="41"/>
      <c r="T259" s="47" t="str">
        <f>IF($T$11="","",$T$11)</f>
        <v/>
      </c>
      <c r="U259" s="48"/>
      <c r="V259" s="48"/>
      <c r="W259" s="48"/>
      <c r="X259" s="48"/>
      <c r="Y259" s="48"/>
      <c r="Z259" s="48"/>
      <c r="AA259" s="48"/>
      <c r="AB259" s="49"/>
      <c r="AD259" s="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18"/>
      <c r="DA259" s="6"/>
    </row>
    <row r="260" spans="1:105" ht="14.25" customHeight="1">
      <c r="A260" s="42"/>
      <c r="B260" s="43"/>
      <c r="C260" s="43"/>
      <c r="D260" s="44"/>
      <c r="E260" s="46"/>
      <c r="F260" s="43"/>
      <c r="G260" s="43"/>
      <c r="H260" s="43"/>
      <c r="I260" s="43"/>
      <c r="J260" s="43"/>
      <c r="K260" s="43"/>
      <c r="L260" s="43"/>
      <c r="M260" s="44"/>
      <c r="N260" s="53" t="str">
        <f>$N$12</f>
        <v/>
      </c>
      <c r="O260" s="54"/>
      <c r="P260" s="54"/>
      <c r="Q260" s="54"/>
      <c r="R260" s="54"/>
      <c r="S260" s="55"/>
      <c r="T260" s="50"/>
      <c r="U260" s="51"/>
      <c r="V260" s="51"/>
      <c r="W260" s="51"/>
      <c r="X260" s="51"/>
      <c r="Y260" s="51"/>
      <c r="Z260" s="51"/>
      <c r="AA260" s="51"/>
      <c r="AB260" s="52"/>
      <c r="AD260" s="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18"/>
      <c r="DA260" s="6"/>
    </row>
    <row r="261" spans="1:105" ht="14.25" customHeight="1">
      <c r="A261" s="39" t="str">
        <f>$A$13</f>
        <v>債務者名</v>
      </c>
      <c r="B261" s="40"/>
      <c r="C261" s="40"/>
      <c r="D261" s="41"/>
      <c r="E261" s="45" t="str">
        <f>IF($E$13="","",$E$13)</f>
        <v/>
      </c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56"/>
      <c r="AD261" s="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18"/>
      <c r="DA261" s="6"/>
    </row>
    <row r="262" spans="1:105" ht="14.25" customHeight="1">
      <c r="A262" s="42"/>
      <c r="B262" s="43"/>
      <c r="C262" s="43"/>
      <c r="D262" s="44"/>
      <c r="E262" s="46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57"/>
      <c r="AD262" s="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18"/>
      <c r="DA262" s="6"/>
    </row>
    <row r="263" spans="1:105" ht="14.25" customHeight="1">
      <c r="A263" s="3"/>
      <c r="B263" s="4" t="s">
        <v>24</v>
      </c>
      <c r="C263" s="4"/>
      <c r="D263" s="4"/>
      <c r="E263" s="4"/>
      <c r="F263" s="4" t="s">
        <v>25</v>
      </c>
      <c r="G263" s="4"/>
      <c r="H263" s="4" t="s">
        <v>26</v>
      </c>
      <c r="I263" s="4"/>
      <c r="J263" s="4" t="s">
        <v>27</v>
      </c>
      <c r="K263" s="4"/>
      <c r="L263" s="4" t="s">
        <v>26</v>
      </c>
      <c r="M263" s="4" t="s">
        <v>28</v>
      </c>
      <c r="N263" s="4"/>
      <c r="O263" s="4"/>
      <c r="P263" s="4" t="s">
        <v>29</v>
      </c>
      <c r="Q263" s="20" t="s">
        <v>30</v>
      </c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D263" s="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18"/>
      <c r="DA263" s="6"/>
    </row>
    <row r="264" spans="1:105" ht="14.25" customHeight="1">
      <c r="A264" s="8"/>
      <c r="AB264" s="18"/>
      <c r="AD264" s="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18"/>
      <c r="DA264" s="6"/>
    </row>
    <row r="265" spans="1:105" ht="14.25" customHeight="1">
      <c r="A265" s="8"/>
      <c r="B265" s="1" t="s">
        <v>33</v>
      </c>
      <c r="G265" s="1" t="s">
        <v>34</v>
      </c>
      <c r="AB265" s="18"/>
      <c r="AD265" s="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18"/>
      <c r="DA265" s="6"/>
    </row>
    <row r="266" spans="1:105" ht="14.25" customHeight="1">
      <c r="A266" s="8"/>
      <c r="G266" s="1" t="s">
        <v>36</v>
      </c>
      <c r="AB266" s="18"/>
      <c r="AD266" s="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18"/>
      <c r="DA266" s="6"/>
    </row>
    <row r="267" spans="1:105" ht="14.25" customHeight="1">
      <c r="A267" s="8"/>
      <c r="AB267" s="18"/>
      <c r="AD267" s="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18"/>
      <c r="DA267" s="6"/>
    </row>
    <row r="268" spans="1:105" ht="14.25" customHeight="1">
      <c r="A268" s="8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18"/>
      <c r="AD268" s="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18"/>
      <c r="DA268" s="6"/>
    </row>
    <row r="269" spans="1:105" ht="14.25" customHeight="1">
      <c r="A269" s="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18"/>
      <c r="AD269" s="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18"/>
      <c r="DA269" s="6"/>
    </row>
    <row r="270" spans="1:105" ht="14.25" customHeight="1">
      <c r="A270" s="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18"/>
      <c r="AD270" s="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18"/>
      <c r="DA270" s="6"/>
    </row>
    <row r="271" spans="1:105" ht="14.25" customHeight="1">
      <c r="A271" s="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18"/>
      <c r="AD271" s="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18"/>
      <c r="DA271" s="6"/>
    </row>
    <row r="272" spans="1:105" ht="14.25" customHeight="1">
      <c r="A272" s="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18"/>
      <c r="AD272" s="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18"/>
      <c r="DA272" s="6"/>
    </row>
    <row r="273" spans="1:105" ht="14.25" customHeight="1">
      <c r="A273" s="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18"/>
      <c r="AD273" s="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18"/>
      <c r="DA273" s="6"/>
    </row>
    <row r="274" spans="1:105" ht="4.5" customHeight="1">
      <c r="A274" s="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18"/>
      <c r="AD274" s="8"/>
      <c r="BL274" s="18"/>
      <c r="DA274" s="6"/>
    </row>
    <row r="275" spans="1:105" ht="13.5" customHeight="1">
      <c r="A275" s="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18"/>
      <c r="AD275" s="8"/>
      <c r="AE275" s="19" t="s">
        <v>72</v>
      </c>
      <c r="AF275" s="35"/>
      <c r="AG275" s="36"/>
      <c r="AH275" s="36"/>
      <c r="AI275" s="36"/>
      <c r="AJ275" s="36"/>
      <c r="AK275" s="36"/>
      <c r="AL275" s="36"/>
      <c r="AM275" s="36"/>
      <c r="AN275" s="36"/>
      <c r="AV275" s="19" t="s">
        <v>73</v>
      </c>
      <c r="AW275" s="35"/>
      <c r="AX275" s="36"/>
      <c r="AY275" s="36"/>
      <c r="AZ275" s="36"/>
      <c r="BA275" s="36"/>
      <c r="BB275" s="36"/>
      <c r="BC275" s="36"/>
      <c r="BD275" s="36"/>
      <c r="BE275" s="36"/>
      <c r="BL275" s="18"/>
      <c r="DA275" s="6"/>
    </row>
    <row r="276" spans="1:105" ht="14.25" customHeight="1">
      <c r="A276" s="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18"/>
      <c r="AD276" s="8"/>
      <c r="AE276" s="37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V276" s="37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18"/>
    </row>
    <row r="277" spans="1:105" ht="14.25" customHeight="1">
      <c r="A277" s="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18"/>
      <c r="AD277" s="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18"/>
    </row>
    <row r="278" spans="1:105" ht="14.25" customHeight="1">
      <c r="A278" s="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18"/>
      <c r="AD278" s="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18"/>
    </row>
    <row r="279" spans="1:105" ht="14.25" customHeight="1">
      <c r="A279" s="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18"/>
      <c r="AD279" s="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18"/>
    </row>
    <row r="280" spans="1:105" ht="14.25" customHeight="1">
      <c r="A280" s="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18"/>
      <c r="AD280" s="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18"/>
    </row>
    <row r="281" spans="1:105" ht="14.25" customHeight="1">
      <c r="A281" s="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18"/>
      <c r="AD281" s="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18"/>
    </row>
    <row r="282" spans="1:105" ht="14.25" customHeight="1">
      <c r="A282" s="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18"/>
      <c r="AD282" s="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18"/>
    </row>
    <row r="283" spans="1:105" ht="14.25" customHeight="1">
      <c r="A283" s="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18"/>
      <c r="AD283" s="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18"/>
    </row>
    <row r="284" spans="1:105" ht="14.25" customHeight="1">
      <c r="A284" s="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18"/>
      <c r="AD284" s="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18"/>
    </row>
    <row r="285" spans="1:105" ht="14.25" customHeight="1">
      <c r="A285" s="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18"/>
      <c r="AD285" s="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18"/>
    </row>
    <row r="286" spans="1:105" ht="14.25" customHeight="1">
      <c r="A286" s="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18"/>
      <c r="AD286" s="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18"/>
    </row>
    <row r="287" spans="1:105" ht="14.25" customHeight="1">
      <c r="A287" s="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18"/>
      <c r="AD287" s="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18"/>
    </row>
    <row r="288" spans="1:105" ht="14.25" customHeight="1">
      <c r="A288" s="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18"/>
      <c r="AD288" s="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18"/>
    </row>
    <row r="289" spans="1:64" ht="14.25" customHeight="1">
      <c r="A289" s="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18"/>
      <c r="AD289" s="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18"/>
    </row>
    <row r="290" spans="1:64" ht="14.25" customHeight="1">
      <c r="A290" s="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18"/>
      <c r="AD290" s="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18"/>
    </row>
    <row r="291" spans="1:64" ht="14.25" customHeight="1">
      <c r="A291" s="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18"/>
      <c r="AD291" s="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18"/>
    </row>
    <row r="292" spans="1:64" ht="4.5" customHeight="1">
      <c r="A292" s="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18"/>
      <c r="AD292" s="8"/>
      <c r="BL292" s="18"/>
    </row>
    <row r="293" spans="1:64" ht="13.5" customHeight="1">
      <c r="A293" s="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18"/>
      <c r="AD293" s="8"/>
      <c r="AE293" s="19" t="s">
        <v>74</v>
      </c>
      <c r="AF293" s="35"/>
      <c r="AG293" s="36"/>
      <c r="AH293" s="36"/>
      <c r="AI293" s="36"/>
      <c r="AJ293" s="36"/>
      <c r="AK293" s="36"/>
      <c r="AL293" s="36"/>
      <c r="AM293" s="36"/>
      <c r="AN293" s="36"/>
      <c r="AV293" s="19" t="s">
        <v>75</v>
      </c>
      <c r="AW293" s="35"/>
      <c r="AX293" s="36"/>
      <c r="AY293" s="36"/>
      <c r="AZ293" s="36"/>
      <c r="BA293" s="36"/>
      <c r="BB293" s="36"/>
      <c r="BC293" s="36"/>
      <c r="BD293" s="36"/>
      <c r="BE293" s="36"/>
      <c r="BL293" s="18"/>
    </row>
    <row r="294" spans="1:64" ht="14.25" customHeight="1">
      <c r="A294" s="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18"/>
      <c r="AD294" s="8"/>
      <c r="AE294" s="37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V294" s="37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18"/>
    </row>
    <row r="295" spans="1:64" ht="14.25" customHeight="1">
      <c r="A295" s="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18"/>
      <c r="AD295" s="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18"/>
    </row>
    <row r="296" spans="1:64" ht="14.25" customHeight="1">
      <c r="A296" s="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18"/>
      <c r="AD296" s="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18"/>
    </row>
    <row r="297" spans="1:64" ht="14.25" customHeight="1">
      <c r="A297" s="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18"/>
      <c r="AD297" s="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18"/>
    </row>
    <row r="298" spans="1:64" ht="14.25" customHeight="1">
      <c r="A298" s="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18"/>
      <c r="AD298" s="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18"/>
    </row>
    <row r="299" spans="1:64" ht="14.25" customHeight="1">
      <c r="A299" s="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18"/>
      <c r="AD299" s="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18"/>
    </row>
    <row r="300" spans="1:64" ht="14.25" customHeight="1">
      <c r="A300" s="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18"/>
      <c r="AD300" s="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18"/>
    </row>
    <row r="301" spans="1:64" ht="14.25" customHeight="1">
      <c r="A301" s="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18"/>
      <c r="AD301" s="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18"/>
    </row>
    <row r="302" spans="1:64" ht="14.25" customHeight="1">
      <c r="A302" s="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18"/>
      <c r="AD302" s="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18"/>
    </row>
    <row r="303" spans="1:64" ht="14.25" customHeight="1">
      <c r="A303" s="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18"/>
      <c r="AD303" s="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18"/>
    </row>
    <row r="304" spans="1:64" ht="14.25" customHeight="1">
      <c r="A304" s="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18"/>
      <c r="AD304" s="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18"/>
    </row>
    <row r="305" spans="1:105" ht="14.25" customHeight="1">
      <c r="A305" s="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18"/>
      <c r="AD305" s="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18"/>
    </row>
    <row r="306" spans="1:105" ht="14.25" customHeight="1">
      <c r="A306" s="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18"/>
      <c r="AD306" s="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18"/>
    </row>
    <row r="307" spans="1:105" ht="14.25" customHeight="1">
      <c r="A307" s="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18"/>
      <c r="AD307" s="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18"/>
    </row>
    <row r="308" spans="1:105" ht="14.25" customHeight="1">
      <c r="A308" s="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18"/>
      <c r="AD308" s="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18"/>
    </row>
    <row r="309" spans="1:105" ht="14.25" customHeight="1">
      <c r="A309" s="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18"/>
      <c r="AD309" s="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18"/>
    </row>
    <row r="310" spans="1:105" ht="5.25" customHeight="1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3"/>
      <c r="AD310" s="21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3"/>
    </row>
    <row r="311" spans="1:105" ht="7.5" customHeight="1"/>
    <row r="312" spans="1:105" ht="22">
      <c r="A312" s="2" t="s">
        <v>0</v>
      </c>
      <c r="M312" s="66">
        <f>$M$2</f>
        <v>2</v>
      </c>
      <c r="N312" s="66"/>
      <c r="AD312" s="3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25" t="str">
        <f>IF($BB$2="","",$BB$2)</f>
        <v/>
      </c>
      <c r="BC312" s="26"/>
      <c r="BD312" s="26"/>
      <c r="BE312" s="26"/>
      <c r="BF312" s="27"/>
      <c r="BG312" s="26">
        <f>$BG$2</f>
        <v>3159205</v>
      </c>
      <c r="BH312" s="26"/>
      <c r="BI312" s="26"/>
      <c r="BJ312" s="26"/>
      <c r="BK312" s="26"/>
      <c r="BL312" s="5"/>
      <c r="DA312" s="6"/>
    </row>
    <row r="313" spans="1:105" ht="7.5" customHeight="1">
      <c r="A313" s="7"/>
      <c r="AD313" s="8"/>
      <c r="AE313" s="9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1"/>
      <c r="AQ313" s="9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2"/>
      <c r="DA313" s="6"/>
    </row>
    <row r="314" spans="1:105" ht="18">
      <c r="M314" s="28" t="s">
        <v>3</v>
      </c>
      <c r="N314" s="29"/>
      <c r="O314" s="30"/>
      <c r="P314" s="28" t="str">
        <f>$P$4</f>
        <v>勘定店名</v>
      </c>
      <c r="Q314" s="29"/>
      <c r="R314" s="29"/>
      <c r="S314" s="29"/>
      <c r="T314" s="30"/>
      <c r="U314" s="28" t="s">
        <v>4</v>
      </c>
      <c r="V314" s="29"/>
      <c r="W314" s="29"/>
      <c r="X314" s="29"/>
      <c r="Y314" s="30"/>
      <c r="Z314" s="28" t="s">
        <v>5</v>
      </c>
      <c r="AA314" s="29"/>
      <c r="AB314" s="30"/>
      <c r="AD314" s="8"/>
      <c r="AE314" s="13"/>
      <c r="AF314" s="1" t="s">
        <v>6</v>
      </c>
      <c r="AJ314" s="67">
        <f>$AJ$4</f>
        <v>45860</v>
      </c>
      <c r="AK314" s="67"/>
      <c r="AL314" s="67"/>
      <c r="AM314" s="67"/>
      <c r="AN314" s="67"/>
      <c r="AO314" s="67"/>
      <c r="AP314" s="68"/>
      <c r="AQ314" s="13"/>
      <c r="AR314" s="1" t="s">
        <v>7</v>
      </c>
      <c r="AV314" s="33" t="str">
        <f>$AV$4</f>
        <v>埼玉県秩父郡小鹿野町両神薄字中原里248-2</v>
      </c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4"/>
      <c r="DA314" s="6"/>
    </row>
    <row r="315" spans="1:105" ht="7.5" customHeight="1">
      <c r="M315" s="39">
        <f>IF(M5="","",M5)</f>
        <v>584</v>
      </c>
      <c r="N315" s="40"/>
      <c r="O315" s="56"/>
      <c r="P315" s="39" t="str">
        <f>IF(P5="","",P5)</f>
        <v>秩父</v>
      </c>
      <c r="Q315" s="40"/>
      <c r="R315" s="40"/>
      <c r="S315" s="40"/>
      <c r="T315" s="56"/>
      <c r="U315" s="39" t="str">
        <f>IF(U5="","",U5)</f>
        <v/>
      </c>
      <c r="V315" s="40"/>
      <c r="W315" s="40"/>
      <c r="X315" s="40"/>
      <c r="Y315" s="56"/>
      <c r="Z315" s="39" t="str">
        <f>IF(Z5="","",Z5)</f>
        <v/>
      </c>
      <c r="AA315" s="40"/>
      <c r="AB315" s="56"/>
      <c r="AD315" s="8"/>
      <c r="AE315" s="14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6"/>
      <c r="AQ315" s="14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7"/>
      <c r="DA315" s="6"/>
    </row>
    <row r="316" spans="1:105" ht="7.5" customHeight="1">
      <c r="M316" s="58"/>
      <c r="N316" s="59"/>
      <c r="O316" s="60"/>
      <c r="P316" s="58"/>
      <c r="Q316" s="59"/>
      <c r="R316" s="59"/>
      <c r="S316" s="59"/>
      <c r="T316" s="60"/>
      <c r="U316" s="58"/>
      <c r="V316" s="59"/>
      <c r="W316" s="59"/>
      <c r="X316" s="59"/>
      <c r="Y316" s="60"/>
      <c r="Z316" s="58"/>
      <c r="AA316" s="59"/>
      <c r="AB316" s="60"/>
      <c r="AD316" s="8"/>
      <c r="BL316" s="18"/>
      <c r="DA316" s="6"/>
    </row>
    <row r="317" spans="1:105" ht="7.5" customHeight="1">
      <c r="M317" s="58"/>
      <c r="N317" s="59"/>
      <c r="O317" s="60"/>
      <c r="P317" s="58"/>
      <c r="Q317" s="59"/>
      <c r="R317" s="59"/>
      <c r="S317" s="59"/>
      <c r="T317" s="60"/>
      <c r="U317" s="58"/>
      <c r="V317" s="59"/>
      <c r="W317" s="59"/>
      <c r="X317" s="59"/>
      <c r="Y317" s="60"/>
      <c r="Z317" s="58"/>
      <c r="AA317" s="59"/>
      <c r="AB317" s="60"/>
      <c r="AD317" s="8"/>
      <c r="BL317" s="18"/>
      <c r="DA317" s="6"/>
    </row>
    <row r="318" spans="1:105" ht="18">
      <c r="M318" s="58"/>
      <c r="N318" s="59"/>
      <c r="O318" s="60"/>
      <c r="P318" s="58"/>
      <c r="Q318" s="59"/>
      <c r="R318" s="59"/>
      <c r="S318" s="59"/>
      <c r="T318" s="60"/>
      <c r="U318" s="58"/>
      <c r="V318" s="59"/>
      <c r="W318" s="59"/>
      <c r="X318" s="59"/>
      <c r="Y318" s="60"/>
      <c r="Z318" s="58"/>
      <c r="AA318" s="59"/>
      <c r="AB318" s="60"/>
      <c r="AD318" s="8"/>
      <c r="BL318" s="18"/>
      <c r="DA318" s="6"/>
    </row>
    <row r="319" spans="1:105" ht="18">
      <c r="B319" s="69">
        <f>$B$9</f>
        <v>45860</v>
      </c>
      <c r="C319" s="69"/>
      <c r="D319" s="69"/>
      <c r="E319" s="69"/>
      <c r="F319" s="69"/>
      <c r="G319" s="69"/>
      <c r="H319" s="69"/>
      <c r="I319" s="69"/>
      <c r="J319" s="69"/>
      <c r="M319" s="42"/>
      <c r="N319" s="43"/>
      <c r="O319" s="57"/>
      <c r="P319" s="42"/>
      <c r="Q319" s="43"/>
      <c r="R319" s="43"/>
      <c r="S319" s="43"/>
      <c r="T319" s="57"/>
      <c r="U319" s="42"/>
      <c r="V319" s="43"/>
      <c r="W319" s="43"/>
      <c r="X319" s="43"/>
      <c r="Y319" s="57"/>
      <c r="Z319" s="42"/>
      <c r="AA319" s="43"/>
      <c r="AB319" s="57"/>
      <c r="AD319" s="8"/>
      <c r="AE319" s="19" t="s">
        <v>76</v>
      </c>
      <c r="AF319" s="35"/>
      <c r="AG319" s="36"/>
      <c r="AH319" s="36"/>
      <c r="AI319" s="36"/>
      <c r="AJ319" s="36"/>
      <c r="AK319" s="36"/>
      <c r="AL319" s="36"/>
      <c r="AM319" s="36"/>
      <c r="AN319" s="36"/>
      <c r="AV319" s="19" t="s">
        <v>77</v>
      </c>
      <c r="AW319" s="35"/>
      <c r="AX319" s="36"/>
      <c r="AY319" s="36"/>
      <c r="AZ319" s="36"/>
      <c r="BA319" s="36"/>
      <c r="BB319" s="36"/>
      <c r="BC319" s="36"/>
      <c r="BD319" s="36"/>
      <c r="BE319" s="36"/>
      <c r="BL319" s="18"/>
      <c r="DA319" s="6"/>
    </row>
    <row r="320" spans="1:105" ht="14.25" customHeight="1">
      <c r="AD320" s="8"/>
      <c r="AE320" s="37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V320" s="37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18"/>
      <c r="DA320" s="6"/>
    </row>
    <row r="321" spans="1:105" ht="14.25" customHeight="1">
      <c r="A321" s="39" t="str">
        <f>$A$11</f>
        <v>CIF</v>
      </c>
      <c r="B321" s="40"/>
      <c r="C321" s="40"/>
      <c r="D321" s="41"/>
      <c r="E321" s="45" t="str">
        <f>IF($E$11="","",$E$11)</f>
        <v/>
      </c>
      <c r="F321" s="40"/>
      <c r="G321" s="40"/>
      <c r="H321" s="40"/>
      <c r="I321" s="40"/>
      <c r="J321" s="40"/>
      <c r="K321" s="40"/>
      <c r="L321" s="40"/>
      <c r="M321" s="41"/>
      <c r="N321" s="45" t="str">
        <f>$N$11</f>
        <v/>
      </c>
      <c r="O321" s="40"/>
      <c r="P321" s="40"/>
      <c r="Q321" s="40"/>
      <c r="R321" s="40"/>
      <c r="S321" s="41"/>
      <c r="T321" s="47" t="str">
        <f>IF($T$11="","",$T$11)</f>
        <v/>
      </c>
      <c r="U321" s="48"/>
      <c r="V321" s="48"/>
      <c r="W321" s="48"/>
      <c r="X321" s="48"/>
      <c r="Y321" s="48"/>
      <c r="Z321" s="48"/>
      <c r="AA321" s="48"/>
      <c r="AB321" s="49"/>
      <c r="AD321" s="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18"/>
      <c r="DA321" s="6"/>
    </row>
    <row r="322" spans="1:105" ht="14.25" customHeight="1">
      <c r="A322" s="42"/>
      <c r="B322" s="43"/>
      <c r="C322" s="43"/>
      <c r="D322" s="44"/>
      <c r="E322" s="46"/>
      <c r="F322" s="43"/>
      <c r="G322" s="43"/>
      <c r="H322" s="43"/>
      <c r="I322" s="43"/>
      <c r="J322" s="43"/>
      <c r="K322" s="43"/>
      <c r="L322" s="43"/>
      <c r="M322" s="44"/>
      <c r="N322" s="53" t="str">
        <f>$N$12</f>
        <v/>
      </c>
      <c r="O322" s="54"/>
      <c r="P322" s="54"/>
      <c r="Q322" s="54"/>
      <c r="R322" s="54"/>
      <c r="S322" s="55"/>
      <c r="T322" s="50"/>
      <c r="U322" s="51"/>
      <c r="V322" s="51"/>
      <c r="W322" s="51"/>
      <c r="X322" s="51"/>
      <c r="Y322" s="51"/>
      <c r="Z322" s="51"/>
      <c r="AA322" s="51"/>
      <c r="AB322" s="52"/>
      <c r="AD322" s="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18"/>
      <c r="DA322" s="6"/>
    </row>
    <row r="323" spans="1:105" ht="14.25" customHeight="1">
      <c r="A323" s="39" t="str">
        <f>$A$13</f>
        <v>債務者名</v>
      </c>
      <c r="B323" s="40"/>
      <c r="C323" s="40"/>
      <c r="D323" s="41"/>
      <c r="E323" s="45" t="str">
        <f>IF($E$13="","",$E$13)</f>
        <v/>
      </c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56"/>
      <c r="AD323" s="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18"/>
      <c r="DA323" s="6"/>
    </row>
    <row r="324" spans="1:105" ht="14.25" customHeight="1">
      <c r="A324" s="42"/>
      <c r="B324" s="43"/>
      <c r="C324" s="43"/>
      <c r="D324" s="44"/>
      <c r="E324" s="46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57"/>
      <c r="AD324" s="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18"/>
      <c r="DA324" s="6"/>
    </row>
    <row r="325" spans="1:105" ht="14.25" customHeight="1">
      <c r="A325" s="3"/>
      <c r="B325" s="4" t="s">
        <v>24</v>
      </c>
      <c r="C325" s="4"/>
      <c r="D325" s="4"/>
      <c r="E325" s="4"/>
      <c r="F325" s="4" t="s">
        <v>25</v>
      </c>
      <c r="G325" s="4"/>
      <c r="H325" s="4" t="s">
        <v>26</v>
      </c>
      <c r="I325" s="4"/>
      <c r="J325" s="4" t="s">
        <v>27</v>
      </c>
      <c r="K325" s="4"/>
      <c r="L325" s="4" t="s">
        <v>26</v>
      </c>
      <c r="M325" s="4" t="s">
        <v>28</v>
      </c>
      <c r="N325" s="4"/>
      <c r="O325" s="4"/>
      <c r="P325" s="4" t="s">
        <v>29</v>
      </c>
      <c r="Q325" s="20" t="s">
        <v>30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D325" s="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18"/>
      <c r="DA325" s="6"/>
    </row>
    <row r="326" spans="1:105" ht="14.25" customHeight="1">
      <c r="A326" s="8"/>
      <c r="AB326" s="18"/>
      <c r="AD326" s="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18"/>
      <c r="DA326" s="6"/>
    </row>
    <row r="327" spans="1:105" ht="14.25" customHeight="1">
      <c r="A327" s="8"/>
      <c r="B327" s="1" t="s">
        <v>33</v>
      </c>
      <c r="G327" s="1" t="s">
        <v>34</v>
      </c>
      <c r="AB327" s="18"/>
      <c r="AD327" s="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18"/>
      <c r="DA327" s="6"/>
    </row>
    <row r="328" spans="1:105" ht="14.25" customHeight="1">
      <c r="A328" s="8"/>
      <c r="G328" s="1" t="s">
        <v>36</v>
      </c>
      <c r="AB328" s="18"/>
      <c r="AD328" s="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18"/>
      <c r="DA328" s="6"/>
    </row>
    <row r="329" spans="1:105" ht="14.25" customHeight="1">
      <c r="A329" s="8"/>
      <c r="AB329" s="18"/>
      <c r="AD329" s="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18"/>
      <c r="DA329" s="6"/>
    </row>
    <row r="330" spans="1:105" ht="14.25" customHeight="1">
      <c r="A330" s="8"/>
      <c r="B330" s="37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18"/>
      <c r="AD330" s="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18"/>
      <c r="DA330" s="6"/>
    </row>
    <row r="331" spans="1:105" ht="14.25" customHeight="1">
      <c r="A331" s="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18"/>
      <c r="AD331" s="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18"/>
      <c r="DA331" s="6"/>
    </row>
    <row r="332" spans="1:105" ht="14.25" customHeight="1">
      <c r="A332" s="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18"/>
      <c r="AD332" s="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18"/>
      <c r="DA332" s="6"/>
    </row>
    <row r="333" spans="1:105" ht="14.25" customHeight="1">
      <c r="A333" s="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18"/>
      <c r="AD333" s="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18"/>
      <c r="DA333" s="6"/>
    </row>
    <row r="334" spans="1:105" ht="14.25" customHeight="1">
      <c r="A334" s="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18"/>
      <c r="AD334" s="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18"/>
      <c r="DA334" s="6"/>
    </row>
    <row r="335" spans="1:105" ht="14.25" customHeight="1">
      <c r="A335" s="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18"/>
      <c r="AD335" s="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18"/>
      <c r="DA335" s="6"/>
    </row>
    <row r="336" spans="1:105" ht="4.5" customHeight="1">
      <c r="A336" s="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18"/>
      <c r="AD336" s="8"/>
      <c r="BL336" s="18"/>
      <c r="DA336" s="6"/>
    </row>
    <row r="337" spans="1:105" ht="13.5" customHeight="1">
      <c r="A337" s="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18"/>
      <c r="AD337" s="8"/>
      <c r="AE337" s="19" t="s">
        <v>78</v>
      </c>
      <c r="AF337" s="35"/>
      <c r="AG337" s="36"/>
      <c r="AH337" s="36"/>
      <c r="AI337" s="36"/>
      <c r="AJ337" s="36"/>
      <c r="AK337" s="36"/>
      <c r="AL337" s="36"/>
      <c r="AM337" s="36"/>
      <c r="AN337" s="36"/>
      <c r="AV337" s="19" t="s">
        <v>79</v>
      </c>
      <c r="AW337" s="35"/>
      <c r="AX337" s="36"/>
      <c r="AY337" s="36"/>
      <c r="AZ337" s="36"/>
      <c r="BA337" s="36"/>
      <c r="BB337" s="36"/>
      <c r="BC337" s="36"/>
      <c r="BD337" s="36"/>
      <c r="BE337" s="36"/>
      <c r="BL337" s="18"/>
      <c r="DA337" s="6"/>
    </row>
    <row r="338" spans="1:105" ht="14.25" customHeight="1">
      <c r="A338" s="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18"/>
      <c r="AD338" s="8"/>
      <c r="AE338" s="37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V338" s="37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18"/>
    </row>
    <row r="339" spans="1:105" ht="14.25" customHeight="1">
      <c r="A339" s="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18"/>
      <c r="AD339" s="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18"/>
    </row>
    <row r="340" spans="1:105" ht="14.25" customHeight="1">
      <c r="A340" s="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18"/>
      <c r="AD340" s="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18"/>
    </row>
    <row r="341" spans="1:105" ht="14.25" customHeight="1">
      <c r="A341" s="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18"/>
      <c r="AD341" s="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18"/>
    </row>
    <row r="342" spans="1:105" ht="14.25" customHeight="1">
      <c r="A342" s="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18"/>
      <c r="AD342" s="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18"/>
    </row>
    <row r="343" spans="1:105" ht="14.25" customHeight="1">
      <c r="A343" s="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18"/>
      <c r="AD343" s="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18"/>
    </row>
    <row r="344" spans="1:105" ht="14.25" customHeight="1">
      <c r="A344" s="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18"/>
      <c r="AD344" s="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18"/>
    </row>
    <row r="345" spans="1:105" ht="14.25" customHeight="1">
      <c r="A345" s="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18"/>
      <c r="AD345" s="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18"/>
    </row>
    <row r="346" spans="1:105" ht="14.25" customHeight="1">
      <c r="A346" s="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18"/>
      <c r="AD346" s="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18"/>
    </row>
    <row r="347" spans="1:105" ht="14.25" customHeight="1">
      <c r="A347" s="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18"/>
      <c r="AD347" s="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18"/>
    </row>
    <row r="348" spans="1:105" ht="14.25" customHeight="1">
      <c r="A348" s="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18"/>
      <c r="AD348" s="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18"/>
    </row>
    <row r="349" spans="1:105" ht="14.25" customHeight="1">
      <c r="A349" s="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18"/>
      <c r="AD349" s="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18"/>
    </row>
    <row r="350" spans="1:105" ht="14.25" customHeight="1">
      <c r="A350" s="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18"/>
      <c r="AD350" s="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18"/>
    </row>
    <row r="351" spans="1:105" ht="14.25" customHeight="1">
      <c r="A351" s="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18"/>
      <c r="AD351" s="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18"/>
    </row>
    <row r="352" spans="1:105" ht="14.25" customHeight="1">
      <c r="A352" s="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18"/>
      <c r="AD352" s="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18"/>
    </row>
    <row r="353" spans="1:64" ht="14.25" customHeight="1">
      <c r="A353" s="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18"/>
      <c r="AD353" s="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18"/>
    </row>
    <row r="354" spans="1:64" ht="4.5" customHeight="1">
      <c r="A354" s="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18"/>
      <c r="AD354" s="8"/>
      <c r="BL354" s="18"/>
    </row>
    <row r="355" spans="1:64" ht="13.5" customHeight="1">
      <c r="A355" s="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18"/>
      <c r="AD355" s="8"/>
      <c r="AE355" s="19" t="s">
        <v>80</v>
      </c>
      <c r="AF355" s="35"/>
      <c r="AG355" s="36"/>
      <c r="AH355" s="36"/>
      <c r="AI355" s="36"/>
      <c r="AJ355" s="36"/>
      <c r="AK355" s="36"/>
      <c r="AL355" s="36"/>
      <c r="AM355" s="36"/>
      <c r="AN355" s="36"/>
      <c r="AV355" s="19" t="s">
        <v>81</v>
      </c>
      <c r="AW355" s="35"/>
      <c r="AX355" s="36"/>
      <c r="AY355" s="36"/>
      <c r="AZ355" s="36"/>
      <c r="BA355" s="36"/>
      <c r="BB355" s="36"/>
      <c r="BC355" s="36"/>
      <c r="BD355" s="36"/>
      <c r="BE355" s="36"/>
      <c r="BL355" s="18"/>
    </row>
    <row r="356" spans="1:64" ht="14.25" customHeight="1">
      <c r="A356" s="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18"/>
      <c r="AD356" s="8"/>
      <c r="AE356" s="37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V356" s="37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18"/>
    </row>
    <row r="357" spans="1:64" ht="14.25" customHeight="1">
      <c r="A357" s="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18"/>
      <c r="AD357" s="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18"/>
    </row>
    <row r="358" spans="1:64" ht="14.25" customHeight="1">
      <c r="A358" s="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18"/>
      <c r="AD358" s="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18"/>
    </row>
    <row r="359" spans="1:64" ht="14.25" customHeight="1">
      <c r="A359" s="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18"/>
      <c r="AD359" s="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18"/>
    </row>
    <row r="360" spans="1:64" ht="14.25" customHeight="1">
      <c r="A360" s="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18"/>
      <c r="AD360" s="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18"/>
    </row>
    <row r="361" spans="1:64" ht="14.25" customHeight="1">
      <c r="A361" s="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18"/>
      <c r="AD361" s="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18"/>
    </row>
    <row r="362" spans="1:64" ht="14.25" customHeight="1">
      <c r="A362" s="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18"/>
      <c r="AD362" s="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18"/>
    </row>
    <row r="363" spans="1:64" ht="14.25" customHeight="1">
      <c r="A363" s="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18"/>
      <c r="AD363" s="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18"/>
    </row>
    <row r="364" spans="1:64" ht="14.25" customHeight="1">
      <c r="A364" s="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18"/>
      <c r="AD364" s="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18"/>
    </row>
    <row r="365" spans="1:64" ht="14.25" customHeight="1">
      <c r="A365" s="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18"/>
      <c r="AD365" s="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18"/>
    </row>
    <row r="366" spans="1:64" ht="14.25" customHeight="1">
      <c r="A366" s="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18"/>
      <c r="AD366" s="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18"/>
    </row>
    <row r="367" spans="1:64" ht="14.25" customHeight="1">
      <c r="A367" s="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18"/>
      <c r="AD367" s="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18"/>
    </row>
    <row r="368" spans="1:64" ht="14.25" customHeight="1">
      <c r="A368" s="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18"/>
      <c r="AD368" s="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18"/>
    </row>
    <row r="369" spans="1:64" ht="14.25" customHeight="1">
      <c r="A369" s="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18"/>
      <c r="AD369" s="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18"/>
    </row>
    <row r="370" spans="1:64" ht="14.25" customHeight="1">
      <c r="A370" s="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18"/>
      <c r="AD370" s="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18"/>
    </row>
    <row r="371" spans="1:64" ht="14.25" customHeight="1">
      <c r="A371" s="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18"/>
      <c r="AD371" s="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18"/>
    </row>
    <row r="372" spans="1:64" ht="5.25" customHeight="1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3"/>
      <c r="AD372" s="21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3"/>
    </row>
  </sheetData>
  <mergeCells count="204">
    <mergeCell ref="AV356:BK371"/>
    <mergeCell ref="AW319:BE319"/>
    <mergeCell ref="AE320:AT335"/>
    <mergeCell ref="AV320:BK335"/>
    <mergeCell ref="A321:D322"/>
    <mergeCell ref="E321:M322"/>
    <mergeCell ref="N321:S321"/>
    <mergeCell ref="T321:AB322"/>
    <mergeCell ref="N322:S322"/>
    <mergeCell ref="A323:D324"/>
    <mergeCell ref="E323:AB324"/>
    <mergeCell ref="M315:O319"/>
    <mergeCell ref="P315:T319"/>
    <mergeCell ref="U315:Y319"/>
    <mergeCell ref="Z315:AB319"/>
    <mergeCell ref="B319:J319"/>
    <mergeCell ref="AF319:AN319"/>
    <mergeCell ref="B330:AA371"/>
    <mergeCell ref="AF337:AN337"/>
    <mergeCell ref="AW337:BE337"/>
    <mergeCell ref="AE338:AT353"/>
    <mergeCell ref="AV338:BK353"/>
    <mergeCell ref="AF355:AN355"/>
    <mergeCell ref="AW355:BE355"/>
    <mergeCell ref="AE356:AT371"/>
    <mergeCell ref="AV294:BK309"/>
    <mergeCell ref="M312:N312"/>
    <mergeCell ref="BB312:BF312"/>
    <mergeCell ref="BG312:BK312"/>
    <mergeCell ref="M314:O314"/>
    <mergeCell ref="P314:T314"/>
    <mergeCell ref="U314:Y314"/>
    <mergeCell ref="Z314:AB314"/>
    <mergeCell ref="AJ314:AP314"/>
    <mergeCell ref="AV314:BL314"/>
    <mergeCell ref="AW257:BE257"/>
    <mergeCell ref="AE258:AT273"/>
    <mergeCell ref="AV258:BK273"/>
    <mergeCell ref="A259:D260"/>
    <mergeCell ref="E259:M260"/>
    <mergeCell ref="N259:S259"/>
    <mergeCell ref="T259:AB260"/>
    <mergeCell ref="N260:S260"/>
    <mergeCell ref="A261:D262"/>
    <mergeCell ref="E261:AB262"/>
    <mergeCell ref="M253:O257"/>
    <mergeCell ref="P253:T257"/>
    <mergeCell ref="U253:Y257"/>
    <mergeCell ref="Z253:AB257"/>
    <mergeCell ref="B257:J257"/>
    <mergeCell ref="AF257:AN257"/>
    <mergeCell ref="B268:AA309"/>
    <mergeCell ref="AF275:AN275"/>
    <mergeCell ref="AW275:BE275"/>
    <mergeCell ref="AE276:AT291"/>
    <mergeCell ref="AV276:BK291"/>
    <mergeCell ref="AF293:AN293"/>
    <mergeCell ref="AW293:BE293"/>
    <mergeCell ref="AE294:AT309"/>
    <mergeCell ref="AV232:BK247"/>
    <mergeCell ref="M250:N250"/>
    <mergeCell ref="BB250:BF250"/>
    <mergeCell ref="BG250:BK250"/>
    <mergeCell ref="M252:O252"/>
    <mergeCell ref="P252:T252"/>
    <mergeCell ref="U252:Y252"/>
    <mergeCell ref="Z252:AB252"/>
    <mergeCell ref="AJ252:AP252"/>
    <mergeCell ref="AV252:BL252"/>
    <mergeCell ref="AW195:BE195"/>
    <mergeCell ref="AE196:AT211"/>
    <mergeCell ref="AV196:BK211"/>
    <mergeCell ref="A197:D198"/>
    <mergeCell ref="E197:M198"/>
    <mergeCell ref="N197:S197"/>
    <mergeCell ref="T197:AB198"/>
    <mergeCell ref="N198:S198"/>
    <mergeCell ref="A199:D200"/>
    <mergeCell ref="E199:AB200"/>
    <mergeCell ref="M191:O195"/>
    <mergeCell ref="P191:T195"/>
    <mergeCell ref="U191:Y195"/>
    <mergeCell ref="Z191:AB195"/>
    <mergeCell ref="B195:J195"/>
    <mergeCell ref="AF195:AN195"/>
    <mergeCell ref="B206:AA247"/>
    <mergeCell ref="AF213:AN213"/>
    <mergeCell ref="AW213:BE213"/>
    <mergeCell ref="AE214:AT229"/>
    <mergeCell ref="AV214:BK229"/>
    <mergeCell ref="AF231:AN231"/>
    <mergeCell ref="AW231:BE231"/>
    <mergeCell ref="AE232:AT247"/>
    <mergeCell ref="AV170:BK185"/>
    <mergeCell ref="M188:N188"/>
    <mergeCell ref="BB188:BF188"/>
    <mergeCell ref="BG188:BK188"/>
    <mergeCell ref="M190:O190"/>
    <mergeCell ref="P190:T190"/>
    <mergeCell ref="U190:Y190"/>
    <mergeCell ref="Z190:AB190"/>
    <mergeCell ref="AJ190:AP190"/>
    <mergeCell ref="AV190:BL190"/>
    <mergeCell ref="AW133:BE133"/>
    <mergeCell ref="AE134:AT149"/>
    <mergeCell ref="AV134:BK149"/>
    <mergeCell ref="A135:D136"/>
    <mergeCell ref="E135:M136"/>
    <mergeCell ref="N135:S135"/>
    <mergeCell ref="T135:AB136"/>
    <mergeCell ref="N136:S136"/>
    <mergeCell ref="A137:D138"/>
    <mergeCell ref="E137:AB138"/>
    <mergeCell ref="M129:O133"/>
    <mergeCell ref="P129:T133"/>
    <mergeCell ref="U129:Y133"/>
    <mergeCell ref="Z129:AB133"/>
    <mergeCell ref="B133:J133"/>
    <mergeCell ref="AF133:AN133"/>
    <mergeCell ref="B144:AA185"/>
    <mergeCell ref="AF151:AN151"/>
    <mergeCell ref="AW151:BE151"/>
    <mergeCell ref="AE152:AT167"/>
    <mergeCell ref="AV152:BK167"/>
    <mergeCell ref="AF169:AN169"/>
    <mergeCell ref="AW169:BE169"/>
    <mergeCell ref="AE170:AT185"/>
    <mergeCell ref="AV108:BK123"/>
    <mergeCell ref="M126:N126"/>
    <mergeCell ref="BB126:BF126"/>
    <mergeCell ref="BG126:BK126"/>
    <mergeCell ref="M128:O128"/>
    <mergeCell ref="P128:T128"/>
    <mergeCell ref="U128:Y128"/>
    <mergeCell ref="Z128:AB128"/>
    <mergeCell ref="AJ128:AP128"/>
    <mergeCell ref="AV128:BL128"/>
    <mergeCell ref="AW71:BE71"/>
    <mergeCell ref="AE72:AT87"/>
    <mergeCell ref="AV72:BK87"/>
    <mergeCell ref="A73:D74"/>
    <mergeCell ref="E73:M74"/>
    <mergeCell ref="N73:S73"/>
    <mergeCell ref="T73:AB74"/>
    <mergeCell ref="N74:S74"/>
    <mergeCell ref="A75:D76"/>
    <mergeCell ref="E75:AB76"/>
    <mergeCell ref="M67:O71"/>
    <mergeCell ref="P67:T71"/>
    <mergeCell ref="U67:Y71"/>
    <mergeCell ref="Z67:AB71"/>
    <mergeCell ref="B71:J71"/>
    <mergeCell ref="AF71:AN71"/>
    <mergeCell ref="B82:AA123"/>
    <mergeCell ref="AF89:AN89"/>
    <mergeCell ref="AW89:BE89"/>
    <mergeCell ref="AE90:AT105"/>
    <mergeCell ref="AV90:BK105"/>
    <mergeCell ref="AF107:AN107"/>
    <mergeCell ref="AW107:BE107"/>
    <mergeCell ref="AE108:AT123"/>
    <mergeCell ref="AV46:BK61"/>
    <mergeCell ref="M64:N64"/>
    <mergeCell ref="BB64:BF64"/>
    <mergeCell ref="BG64:BK64"/>
    <mergeCell ref="M66:O66"/>
    <mergeCell ref="P66:T66"/>
    <mergeCell ref="U66:Y66"/>
    <mergeCell ref="Z66:AB66"/>
    <mergeCell ref="AJ66:AP66"/>
    <mergeCell ref="AV66:BL66"/>
    <mergeCell ref="AW9:BE9"/>
    <mergeCell ref="AE10:AT25"/>
    <mergeCell ref="AV10:BK25"/>
    <mergeCell ref="A11:D12"/>
    <mergeCell ref="E11:M12"/>
    <mergeCell ref="N11:S11"/>
    <mergeCell ref="T11:AB12"/>
    <mergeCell ref="N12:S12"/>
    <mergeCell ref="A13:D14"/>
    <mergeCell ref="E13:AB14"/>
    <mergeCell ref="M5:O9"/>
    <mergeCell ref="P5:T9"/>
    <mergeCell ref="U5:Y9"/>
    <mergeCell ref="Z5:AB9"/>
    <mergeCell ref="B9:J9"/>
    <mergeCell ref="AF9:AN9"/>
    <mergeCell ref="B20:AA61"/>
    <mergeCell ref="AF27:AN27"/>
    <mergeCell ref="AW27:BE27"/>
    <mergeCell ref="AE28:AT43"/>
    <mergeCell ref="AV28:BK43"/>
    <mergeCell ref="AF45:AN45"/>
    <mergeCell ref="AW45:BE45"/>
    <mergeCell ref="AE46:AT61"/>
    <mergeCell ref="M2:N2"/>
    <mergeCell ref="BB2:BF2"/>
    <mergeCell ref="BG2:BK2"/>
    <mergeCell ref="M4:O4"/>
    <mergeCell ref="P4:T4"/>
    <mergeCell ref="U4:Y4"/>
    <mergeCell ref="Z4:AB4"/>
    <mergeCell ref="AJ4:AP4"/>
    <mergeCell ref="AV4:BL4"/>
  </mergeCells>
  <phoneticPr fontId="2"/>
  <dataValidations count="1">
    <dataValidation type="list" allowBlank="1" showInputMessage="1" showErrorMessage="1" sqref="AX337:BE337 AG45:AN45 AG9:AN9 AX9:BE9 AG27:AN27 AX27:BE27 AG89:AN89 AX45:BE45 AG107:AN107 AG71:AN71 AX71:BE71 AX89:BE89 AX107:BE107 AG169:AN169 AG133:AN133 AX133:BE133 AG151:AN151 AX151:BE151 AX169:BE169 AG231:AN231 AG195:AN195 AX195:BE195 AG213:AN213 AX213:BE213 AX231:BE231 AG293:AN293 AG257:AN257 AX257:BE257 AG275:AN275 AX275:BE275 AX293:BE293 AG355:AN355 AG319:AN319 AX319:BE319 AG337:AN337 AX355:BE355" xr:uid="{306554C4-93A4-4B5B-86D3-2D9B2C2D5163}">
      <formula1>$DA$2:$DA$27</formula1>
    </dataValidation>
  </dataValidations>
  <printOptions horizontalCentered="1" verticalCentered="1"/>
  <pageMargins left="0.51181102362204722" right="0.31496062992125984" top="0.51181102362204722" bottom="0.31496062992125984" header="0.31496062992125984" footer="0.31496062992125984"/>
  <pageSetup paperSize="12" scale="75" orientation="landscape" r:id="rId1"/>
  <headerFooter alignWithMargins="0"/>
  <rowBreaks count="5" manualBreakCount="5">
    <brk id="62" max="63" man="1"/>
    <brk id="124" max="16383" man="1"/>
    <brk id="186" max="16383" man="1"/>
    <brk id="248" max="16383" man="1"/>
    <brk id="31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1_調査員へ渡すシート</vt:lpstr>
      <vt:lpstr>2_調査員が作成した報告書</vt:lpstr>
      <vt:lpstr>3_本社社員が修正したもの</vt:lpstr>
      <vt:lpstr>'1_調査員へ渡すシート'!Print_Area</vt:lpstr>
      <vt:lpstr>'2_調査員が作成した報告書'!Print_Area</vt:lpstr>
      <vt:lpstr>'3_本社社員が修正したもの'!Print_Area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浦田 寛</dc:creator>
  <cp:lastModifiedBy>直樹 山本</cp:lastModifiedBy>
  <dcterms:created xsi:type="dcterms:W3CDTF">2025-09-17T09:22:57Z</dcterms:created>
  <dcterms:modified xsi:type="dcterms:W3CDTF">2025-09-18T03:42:28Z</dcterms:modified>
</cp:coreProperties>
</file>